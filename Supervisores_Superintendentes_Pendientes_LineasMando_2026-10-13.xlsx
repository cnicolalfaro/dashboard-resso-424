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ltan - Superv y Super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<sst xmlns="http://schemas.openxmlformats.org/spreadsheetml/2006/main" count="180" uniqueCount="105">
  <si>
    <t xml:space="preserve">Supervisores y Superintendentes pendientes — Capacitación Líneas de Mando</t>
  </si>
  <si>
    <t xml:space="preserve">Capacitación Líneas de Mando - Ejecución y Verificación de Controles Críticos. Cruce: registro de asistencia SGR-R-006.DCH (30-Ago y 11-Sep-2026) vs. tarja actualizada al 2026-10-13 (Matriz_RESSO_424). No incluye Topógrafos (7 adicionales pendientes; ver tablero/Excel completo). Generado: 2026-10-13.</t>
  </si>
  <si>
    <t xml:space="preserve">Categoría</t>
  </si>
  <si>
    <t xml:space="preserve">RUT</t>
  </si>
  <si>
    <t xml:space="preserve">Nombre</t>
  </si>
  <si>
    <t xml:space="preserve">Cargo</t>
  </si>
  <si>
    <t xml:space="preserve">Turno</t>
  </si>
  <si>
    <t xml:space="preserve">Superintendente</t>
  </si>
  <si>
    <t xml:space="preserve">16286473-4</t>
  </si>
  <si>
    <t xml:space="preserve">ALBERTO FRANKLIN CARRERA CONTRERAS</t>
  </si>
  <si>
    <t xml:space="preserve">SUPERINT DE CAÑERIA</t>
  </si>
  <si>
    <t xml:space="preserve">8X6 B</t>
  </si>
  <si>
    <t xml:space="preserve">10248943-8</t>
  </si>
  <si>
    <t xml:space="preserve">ALDO DANILO OPAZO MENDOZA</t>
  </si>
  <si>
    <t xml:space="preserve">SUPERINT MECANICO</t>
  </si>
  <si>
    <t xml:space="preserve">12351829-2</t>
  </si>
  <si>
    <t xml:space="preserve">CARLOS ANTONIO BRUNA ALMEIDA</t>
  </si>
  <si>
    <t xml:space="preserve">10378757-2</t>
  </si>
  <si>
    <t xml:space="preserve">CARLOS BENJAMIN TORREBLANCA MANZANARES</t>
  </si>
  <si>
    <t xml:space="preserve">SUPERINT DE OBRAS CIVILES</t>
  </si>
  <si>
    <t xml:space="preserve">17129647-1</t>
  </si>
  <si>
    <t xml:space="preserve">ELIAS BENJASMIN DE LA FUENTE CONTRERAS</t>
  </si>
  <si>
    <t xml:space="preserve">13767633-8</t>
  </si>
  <si>
    <t xml:space="preserve">GERARDO HERNAN SANTANDER LABADIE</t>
  </si>
  <si>
    <t xml:space="preserve">SUPERINTENDENTE GENERAL DE FAENA</t>
  </si>
  <si>
    <t xml:space="preserve">8X6 A</t>
  </si>
  <si>
    <t xml:space="preserve">13214690-K</t>
  </si>
  <si>
    <t xml:space="preserve">JIMMY ALBERT LEON BARRAZA</t>
  </si>
  <si>
    <t xml:space="preserve">16635707-1</t>
  </si>
  <si>
    <t xml:space="preserve">JORGE ANDRES AVENDAÑO SAA</t>
  </si>
  <si>
    <t xml:space="preserve">SUPERINT DE ANDAMIOS</t>
  </si>
  <si>
    <t xml:space="preserve">9340035-6</t>
  </si>
  <si>
    <t xml:space="preserve">JOSE BALDOVINO BRAVO CID</t>
  </si>
  <si>
    <t xml:space="preserve">13513217-9</t>
  </si>
  <si>
    <t xml:space="preserve">JOSE ERIK LANDAUR SILVA</t>
  </si>
  <si>
    <t xml:space="preserve">4X3</t>
  </si>
  <si>
    <t xml:space="preserve">10442712-K</t>
  </si>
  <si>
    <t xml:space="preserve">JUAN BAUTISTA VILLA VEGA</t>
  </si>
  <si>
    <t xml:space="preserve">SUPERINT  ELECTRICO E INSTRUMENTACION</t>
  </si>
  <si>
    <t xml:space="preserve">10X10 B-N</t>
  </si>
  <si>
    <t xml:space="preserve">10741790-7</t>
  </si>
  <si>
    <t xml:space="preserve">MAURICIO HERIBERTO CATALAN PEREZ</t>
  </si>
  <si>
    <t xml:space="preserve">10X10 A-N</t>
  </si>
  <si>
    <t xml:space="preserve">12052960-9</t>
  </si>
  <si>
    <t xml:space="preserve">NOLBERTO GONZALEZ INOSTROZA</t>
  </si>
  <si>
    <t xml:space="preserve">SUPERINTENDENTE OOCC</t>
  </si>
  <si>
    <t xml:space="preserve">12380451-1</t>
  </si>
  <si>
    <t xml:space="preserve">RICHARD ALBERTO RUIZ JIMENEZ</t>
  </si>
  <si>
    <t xml:space="preserve">16425080-6</t>
  </si>
  <si>
    <t xml:space="preserve">SEBASTIAN OSMAN PEREZ RODRIGUEZ</t>
  </si>
  <si>
    <t xml:space="preserve">15158957-K</t>
  </si>
  <si>
    <t xml:space="preserve">SELIN EDUARDO ALVEAR RIVAS</t>
  </si>
  <si>
    <t xml:space="preserve">14405171-8</t>
  </si>
  <si>
    <t xml:space="preserve">SERGIO ARMANDO ZAMBRANO CONCHA</t>
  </si>
  <si>
    <t xml:space="preserve">SUPERINT LIDER DE AREA</t>
  </si>
  <si>
    <t xml:space="preserve">9396351-2</t>
  </si>
  <si>
    <t xml:space="preserve">TEOBALDO ENRIQUE RIVAS TOLEDO</t>
  </si>
  <si>
    <t xml:space="preserve">SUPERINTENDENTE ELECTRICO E INSTRUMENTACION</t>
  </si>
  <si>
    <t xml:space="preserve">Supervisor</t>
  </si>
  <si>
    <t xml:space="preserve">25777853-3</t>
  </si>
  <si>
    <t xml:space="preserve">ALEXIS ANDRES CRISTOPULO HERNANDEZ</t>
  </si>
  <si>
    <t xml:space="preserve">SUPERV ELECTRICO</t>
  </si>
  <si>
    <t xml:space="preserve">16123852-K</t>
  </si>
  <si>
    <t xml:space="preserve">BORIS ALBERTO ZAMORA QUINTEROS</t>
  </si>
  <si>
    <t xml:space="preserve">10170656-7</t>
  </si>
  <si>
    <t xml:space="preserve">EDGARDO ANDRES HENRIQUEZ MORA</t>
  </si>
  <si>
    <t xml:space="preserve">14496250-8</t>
  </si>
  <si>
    <t xml:space="preserve">FERNANDO CRISTIAN FIGUEROA CONTRERAS</t>
  </si>
  <si>
    <t xml:space="preserve">SUPERV MECANICO</t>
  </si>
  <si>
    <t xml:space="preserve">10X10 A</t>
  </si>
  <si>
    <t xml:space="preserve">12171896-0</t>
  </si>
  <si>
    <t xml:space="preserve">FRANCISCO ALEJANDRO MOYANO ALDAY</t>
  </si>
  <si>
    <t xml:space="preserve">10X10 B</t>
  </si>
  <si>
    <t xml:space="preserve">8885133-1</t>
  </si>
  <si>
    <t xml:space="preserve">GONZALO ALBERTO VILLAR CACERES</t>
  </si>
  <si>
    <t xml:space="preserve">10X10 D</t>
  </si>
  <si>
    <t xml:space="preserve">13753492-4</t>
  </si>
  <si>
    <t xml:space="preserve">HUGO CHRISTIAN PASTEN CASTRO</t>
  </si>
  <si>
    <t xml:space="preserve">11941431-8</t>
  </si>
  <si>
    <t xml:space="preserve">HUGO HUMBERTO MOYANO SOTO</t>
  </si>
  <si>
    <t xml:space="preserve">SUPERV ELECTRICO MANTENIMIENTO</t>
  </si>
  <si>
    <t xml:space="preserve">12004531-8</t>
  </si>
  <si>
    <t xml:space="preserve">IVER CRISTOBAL PARRA BAZO</t>
  </si>
  <si>
    <t xml:space="preserve">17208309-9</t>
  </si>
  <si>
    <t xml:space="preserve">JOSE CARLOS CORREA LOBOS</t>
  </si>
  <si>
    <t xml:space="preserve">11898432-3</t>
  </si>
  <si>
    <t xml:space="preserve">LUIS ALBERTO GATICA CASTILLO</t>
  </si>
  <si>
    <t xml:space="preserve">SUPERV DE CAÑERIA</t>
  </si>
  <si>
    <t xml:space="preserve">10027211-3</t>
  </si>
  <si>
    <t xml:space="preserve">LUIS CLAUDIO GODOY CASTILLO</t>
  </si>
  <si>
    <t xml:space="preserve">15729203-K</t>
  </si>
  <si>
    <t xml:space="preserve">LUIS HERIBERTO AROS SOTO</t>
  </si>
  <si>
    <t xml:space="preserve">SUPERV DE ESTRUCTURA</t>
  </si>
  <si>
    <t xml:space="preserve">15817054-K</t>
  </si>
  <si>
    <t xml:space="preserve">LUIS MIGUEL PUEBLA SOTO</t>
  </si>
  <si>
    <t xml:space="preserve">17165719-9</t>
  </si>
  <si>
    <t xml:space="preserve">MANUEL BERNARDO SOTOMAYOR VERA</t>
  </si>
  <si>
    <t xml:space="preserve">14533368-7</t>
  </si>
  <si>
    <t xml:space="preserve">MARCELO ALEJANDRO TRIBIÑOS TRIVIÑOS</t>
  </si>
  <si>
    <t xml:space="preserve">SUPERV DE OBRAS CIVILES</t>
  </si>
  <si>
    <t xml:space="preserve">13726600-8</t>
  </si>
  <si>
    <t xml:space="preserve">PABLO CESAR LANDAUR SILVA</t>
  </si>
  <si>
    <t xml:space="preserve">Supervisores pendientes:</t>
  </si>
  <si>
    <t xml:space="preserve">Superintendentes pendientes:</t>
  </si>
  <si>
    <t xml:space="preserve">Total pendientes (Superv+Superint):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</si>
</sst>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C54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22B2B"/>
        <bgColor rgb="FF993366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5C5440"/>
      <rgbColor rgb="FF969696"/>
      <rgbColor rgb="FF003366"/>
      <rgbColor rgb="FF339966"/>
      <rgbColor rgb="FF003300"/>
      <rgbColor rgb="FF333300"/>
      <rgbColor rgb="FFC22B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15" hidden="false" customHeight="false" outlineLevel="0" collapsed="false">
      <c r="A6" s="4" t="s">
        <v>7</v>
      </c>
      <c r="B6" s="4" t="s">
        <v>12</v>
      </c>
      <c r="C6" s="4" t="s">
        <v>13</v>
      </c>
      <c r="D6" s="4" t="s">
        <v>14</v>
      </c>
      <c r="E6" s="4" t="s">
        <v>11</v>
      </c>
    </row>
    <row r="7" customFormat="false" ht="15" hidden="false" customHeight="false" outlineLevel="0" collapsed="false">
      <c r="A7" s="4" t="s">
        <v>7</v>
      </c>
      <c r="B7" s="4" t="s">
        <v>15</v>
      </c>
      <c r="C7" s="4" t="s">
        <v>16</v>
      </c>
      <c r="D7" s="4" t="s">
        <v>14</v>
      </c>
      <c r="E7" s="4"/>
    </row>
    <row r="8" customFormat="false" ht="15" hidden="false" customHeight="false" outlineLevel="0" collapsed="false">
      <c r="A8" s="4" t="s">
        <v>7</v>
      </c>
      <c r="B8" s="4" t="s">
        <v>17</v>
      </c>
      <c r="C8" s="4" t="s">
        <v>18</v>
      </c>
      <c r="D8" s="4" t="s">
        <v>19</v>
      </c>
      <c r="E8" s="4" t="s">
        <v>11</v>
      </c>
    </row>
    <row r="9" customFormat="false" ht="15" hidden="false" customHeight="false" outlineLevel="0" collapsed="false">
      <c r="A9" s="4" t="s">
        <v>7</v>
      </c>
      <c r="B9" s="4" t="s">
        <v>20</v>
      </c>
      <c r="C9" s="4" t="s">
        <v>21</v>
      </c>
      <c r="D9" s="4" t="s">
        <v>14</v>
      </c>
      <c r="E9" s="4" t="s">
        <v>11</v>
      </c>
    </row>
    <row r="10" customFormat="false" ht="15" hidden="false" customHeight="false" outlineLevel="0" collapsed="false">
      <c r="A10" s="4" t="s">
        <v>7</v>
      </c>
      <c r="B10" s="4" t="s">
        <v>22</v>
      </c>
      <c r="C10" s="4" t="s">
        <v>23</v>
      </c>
      <c r="D10" s="4" t="s">
        <v>24</v>
      </c>
      <c r="E10" s="4" t="s">
        <v>25</v>
      </c>
    </row>
    <row r="11" customFormat="false" ht="15" hidden="false" customHeight="false" outlineLevel="0" collapsed="false">
      <c r="A11" s="4" t="s">
        <v>7</v>
      </c>
      <c r="B11" s="4" t="s">
        <v>26</v>
      </c>
      <c r="C11" s="4" t="s">
        <v>27</v>
      </c>
      <c r="D11" s="4" t="s">
        <v>19</v>
      </c>
      <c r="E11" s="4" t="s">
        <v>25</v>
      </c>
    </row>
    <row r="12" customFormat="false" ht="15" hidden="false" customHeight="false" outlineLevel="0" collapsed="false">
      <c r="A12" s="4" t="s">
        <v>7</v>
      </c>
      <c r="B12" s="4" t="s">
        <v>28</v>
      </c>
      <c r="C12" s="4" t="s">
        <v>29</v>
      </c>
      <c r="D12" s="4" t="s">
        <v>30</v>
      </c>
      <c r="E12" s="4" t="s">
        <v>25</v>
      </c>
    </row>
    <row r="13" customFormat="false" ht="15" hidden="false" customHeight="false" outlineLevel="0" collapsed="false">
      <c r="A13" s="4" t="s">
        <v>7</v>
      </c>
      <c r="B13" s="4" t="s">
        <v>31</v>
      </c>
      <c r="C13" s="4" t="s">
        <v>32</v>
      </c>
      <c r="D13" s="4" t="s">
        <v>10</v>
      </c>
      <c r="E13" s="4" t="s">
        <v>25</v>
      </c>
    </row>
    <row r="14" customFormat="false" ht="15" hidden="false" customHeight="false" outlineLevel="0" collapsed="false">
      <c r="A14" s="4" t="s">
        <v>7</v>
      </c>
      <c r="B14" s="4" t="s">
        <v>33</v>
      </c>
      <c r="C14" s="4" t="s">
        <v>34</v>
      </c>
      <c r="D14" s="4" t="s">
        <v>24</v>
      </c>
      <c r="E14" s="4" t="s">
        <v>35</v>
      </c>
    </row>
    <row r="15" customFormat="false" ht="15" hidden="false" customHeight="false" outlineLevel="0" collapsed="false">
      <c r="A15" s="4" t="s">
        <v>7</v>
      </c>
      <c r="B15" s="4" t="s">
        <v>36</v>
      </c>
      <c r="C15" s="4" t="s">
        <v>37</v>
      </c>
      <c r="D15" s="4" t="s">
        <v>38</v>
      </c>
      <c r="E15" s="4" t="s">
        <v>39</v>
      </c>
    </row>
    <row r="16" customFormat="false" ht="15" hidden="false" customHeight="false" outlineLevel="0" collapsed="false">
      <c r="A16" s="4" t="s">
        <v>7</v>
      </c>
      <c r="B16" s="4" t="s">
        <v>40</v>
      </c>
      <c r="C16" s="4" t="s">
        <v>41</v>
      </c>
      <c r="D16" s="4" t="s">
        <v>38</v>
      </c>
      <c r="E16" s="4" t="s">
        <v>42</v>
      </c>
    </row>
    <row r="17" customFormat="false" ht="15" hidden="false" customHeight="false" outlineLevel="0" collapsed="false">
      <c r="A17" s="4" t="s">
        <v>7</v>
      </c>
      <c r="B17" s="4" t="s">
        <v>43</v>
      </c>
      <c r="C17" s="4" t="s">
        <v>44</v>
      </c>
      <c r="D17" s="4" t="s">
        <v>45</v>
      </c>
      <c r="E17" s="4" t="s">
        <v>42</v>
      </c>
    </row>
    <row r="18" customFormat="false" ht="15" hidden="false" customHeight="false" outlineLevel="0" collapsed="false">
      <c r="A18" s="4" t="s">
        <v>7</v>
      </c>
      <c r="B18" s="4" t="s">
        <v>46</v>
      </c>
      <c r="C18" s="4" t="s">
        <v>47</v>
      </c>
      <c r="D18" s="4" t="s">
        <v>19</v>
      </c>
      <c r="E18" s="4" t="s">
        <v>39</v>
      </c>
    </row>
    <row r="19" customFormat="false" ht="15" hidden="false" customHeight="false" outlineLevel="0" collapsed="false">
      <c r="A19" s="4" t="s">
        <v>7</v>
      </c>
      <c r="B19" s="4" t="s">
        <v>48</v>
      </c>
      <c r="C19" s="4" t="s">
        <v>49</v>
      </c>
      <c r="D19" s="4" t="s">
        <v>38</v>
      </c>
      <c r="E19" s="4" t="s">
        <v>39</v>
      </c>
    </row>
    <row r="20" customFormat="false" ht="15" hidden="false" customHeight="false" outlineLevel="0" collapsed="false">
      <c r="A20" s="4" t="s">
        <v>7</v>
      </c>
      <c r="B20" s="4" t="s">
        <v>50</v>
      </c>
      <c r="C20" s="4" t="s">
        <v>51</v>
      </c>
      <c r="D20" s="4" t="s">
        <v>38</v>
      </c>
      <c r="E20" s="4" t="s">
        <v>11</v>
      </c>
    </row>
    <row r="21" customFormat="false" ht="15" hidden="false" customHeight="false" outlineLevel="0" collapsed="false">
      <c r="A21" s="4" t="s">
        <v>7</v>
      </c>
      <c r="B21" s="4" t="s">
        <v>52</v>
      </c>
      <c r="C21" s="4" t="s">
        <v>53</v>
      </c>
      <c r="D21" s="4" t="s">
        <v>54</v>
      </c>
      <c r="E21" s="4" t="s">
        <v>25</v>
      </c>
    </row>
    <row r="22" customFormat="false" ht="15" hidden="false" customHeight="false" outlineLevel="0" collapsed="false">
      <c r="A22" s="4" t="s">
        <v>7</v>
      </c>
      <c r="B22" s="4" t="s">
        <v>55</v>
      </c>
      <c r="C22" s="4" t="s">
        <v>56</v>
      </c>
      <c r="D22" s="4" t="s">
        <v>57</v>
      </c>
      <c r="E22" s="4" t="s">
        <v>25</v>
      </c>
    </row>
    <row r="23" customFormat="false" ht="15" hidden="false" customHeight="false" outlineLevel="0" collapsed="false">
      <c r="A23" s="5" t="s">
        <v>58</v>
      </c>
      <c r="B23" s="5" t="s">
        <v>59</v>
      </c>
      <c r="C23" s="5" t="s">
        <v>60</v>
      </c>
      <c r="D23" s="5" t="s">
        <v>61</v>
      </c>
      <c r="E23" s="5" t="s">
        <v>42</v>
      </c>
    </row>
    <row r="24" customFormat="false" ht="15" hidden="false" customHeight="false" outlineLevel="0" collapsed="false">
      <c r="A24" s="5" t="s">
        <v>58</v>
      </c>
      <c r="B24" s="5" t="s">
        <v>62</v>
      </c>
      <c r="C24" s="5" t="s">
        <v>63</v>
      </c>
      <c r="D24" s="5" t="s">
        <v>61</v>
      </c>
      <c r="E24" s="5"/>
    </row>
    <row r="25" customFormat="false" ht="15" hidden="false" customHeight="false" outlineLevel="0" collapsed="false">
      <c r="A25" s="5" t="s">
        <v>58</v>
      </c>
      <c r="B25" s="5" t="s">
        <v>64</v>
      </c>
      <c r="C25" s="5" t="s">
        <v>65</v>
      </c>
      <c r="D25" s="5" t="s">
        <v>61</v>
      </c>
      <c r="E25" s="5"/>
    </row>
    <row r="26" customFormat="false" ht="15" hidden="false" customHeight="false" outlineLevel="0" collapsed="false">
      <c r="A26" s="5" t="s">
        <v>58</v>
      </c>
      <c r="B26" s="5" t="s">
        <v>66</v>
      </c>
      <c r="C26" s="5" t="s">
        <v>67</v>
      </c>
      <c r="D26" s="5" t="s">
        <v>68</v>
      </c>
      <c r="E26" s="5" t="s">
        <v>69</v>
      </c>
    </row>
    <row r="27" customFormat="false" ht="15" hidden="false" customHeight="false" outlineLevel="0" collapsed="false">
      <c r="A27" s="5" t="s">
        <v>58</v>
      </c>
      <c r="B27" s="5" t="s">
        <v>70</v>
      </c>
      <c r="C27" s="5" t="s">
        <v>71</v>
      </c>
      <c r="D27" s="5" t="s">
        <v>68</v>
      </c>
      <c r="E27" s="5" t="s">
        <v>72</v>
      </c>
    </row>
    <row r="28" customFormat="false" ht="15" hidden="false" customHeight="false" outlineLevel="0" collapsed="false">
      <c r="A28" s="5" t="s">
        <v>58</v>
      </c>
      <c r="B28" s="5" t="s">
        <v>73</v>
      </c>
      <c r="C28" s="5" t="s">
        <v>74</v>
      </c>
      <c r="D28" s="5" t="s">
        <v>68</v>
      </c>
      <c r="E28" s="5" t="s">
        <v>75</v>
      </c>
    </row>
    <row r="29" customFormat="false" ht="15" hidden="false" customHeight="false" outlineLevel="0" collapsed="false">
      <c r="A29" s="5" t="s">
        <v>58</v>
      </c>
      <c r="B29" s="5" t="s">
        <v>76</v>
      </c>
      <c r="C29" s="5" t="s">
        <v>77</v>
      </c>
      <c r="D29" s="5" t="s">
        <v>68</v>
      </c>
      <c r="E29" s="5" t="s">
        <v>39</v>
      </c>
    </row>
    <row r="30" customFormat="false" ht="15" hidden="false" customHeight="false" outlineLevel="0" collapsed="false">
      <c r="A30" s="5" t="s">
        <v>58</v>
      </c>
      <c r="B30" s="5" t="s">
        <v>78</v>
      </c>
      <c r="C30" s="5" t="s">
        <v>79</v>
      </c>
      <c r="D30" s="5" t="s">
        <v>80</v>
      </c>
      <c r="E30" s="5" t="s">
        <v>72</v>
      </c>
    </row>
    <row r="31" customFormat="false" ht="15" hidden="false" customHeight="false" outlineLevel="0" collapsed="false">
      <c r="A31" s="5" t="s">
        <v>58</v>
      </c>
      <c r="B31" s="5" t="s">
        <v>81</v>
      </c>
      <c r="C31" s="5" t="s">
        <v>82</v>
      </c>
      <c r="D31" s="5" t="s">
        <v>68</v>
      </c>
      <c r="E31" s="5" t="s">
        <v>72</v>
      </c>
    </row>
    <row r="32" customFormat="false" ht="15" hidden="false" customHeight="false" outlineLevel="0" collapsed="false">
      <c r="A32" s="5" t="s">
        <v>58</v>
      </c>
      <c r="B32" s="5" t="s">
        <v>83</v>
      </c>
      <c r="C32" s="5" t="s">
        <v>84</v>
      </c>
      <c r="D32" s="5" t="s">
        <v>61</v>
      </c>
      <c r="E32" s="5" t="s">
        <v>39</v>
      </c>
    </row>
    <row r="33" customFormat="false" ht="15" hidden="false" customHeight="false" outlineLevel="0" collapsed="false">
      <c r="A33" s="5" t="s">
        <v>58</v>
      </c>
      <c r="B33" s="5" t="s">
        <v>85</v>
      </c>
      <c r="C33" s="5" t="s">
        <v>86</v>
      </c>
      <c r="D33" s="5" t="s">
        <v>87</v>
      </c>
      <c r="E33" s="5" t="s">
        <v>39</v>
      </c>
    </row>
    <row r="34" customFormat="false" ht="15" hidden="false" customHeight="false" outlineLevel="0" collapsed="false">
      <c r="A34" s="5" t="s">
        <v>58</v>
      </c>
      <c r="B34" s="5" t="s">
        <v>88</v>
      </c>
      <c r="C34" s="5" t="s">
        <v>89</v>
      </c>
      <c r="D34" s="5" t="s">
        <v>61</v>
      </c>
      <c r="E34" s="5"/>
    </row>
    <row r="35" customFormat="false" ht="15" hidden="false" customHeight="false" outlineLevel="0" collapsed="false">
      <c r="A35" s="5" t="s">
        <v>58</v>
      </c>
      <c r="B35" s="5" t="s">
        <v>90</v>
      </c>
      <c r="C35" s="5" t="s">
        <v>91</v>
      </c>
      <c r="D35" s="5" t="s">
        <v>92</v>
      </c>
      <c r="E35" s="5"/>
    </row>
    <row r="36" customFormat="false" ht="15" hidden="false" customHeight="false" outlineLevel="0" collapsed="false">
      <c r="A36" s="5" t="s">
        <v>58</v>
      </c>
      <c r="B36" s="5" t="s">
        <v>93</v>
      </c>
      <c r="C36" s="5" t="s">
        <v>94</v>
      </c>
      <c r="D36" s="5" t="s">
        <v>68</v>
      </c>
      <c r="E36" s="5" t="s">
        <v>69</v>
      </c>
    </row>
    <row r="37" customFormat="false" ht="15" hidden="false" customHeight="false" outlineLevel="0" collapsed="false">
      <c r="A37" s="5" t="s">
        <v>58</v>
      </c>
      <c r="B37" s="5" t="s">
        <v>95</v>
      </c>
      <c r="C37" s="5" t="s">
        <v>96</v>
      </c>
      <c r="D37" s="5" t="s">
        <v>92</v>
      </c>
      <c r="E37" s="5" t="s">
        <v>39</v>
      </c>
    </row>
    <row r="38" customFormat="false" ht="15" hidden="false" customHeight="false" outlineLevel="0" collapsed="false">
      <c r="A38" s="5" t="s">
        <v>58</v>
      </c>
      <c r="B38" s="5" t="s">
        <v>97</v>
      </c>
      <c r="C38" s="5" t="s">
        <v>98</v>
      </c>
      <c r="D38" s="5" t="s">
        <v>99</v>
      </c>
      <c r="E38" s="5" t="s">
        <v>72</v>
      </c>
    </row>
    <row r="39" customFormat="false" ht="15" hidden="false" customHeight="false" outlineLevel="0" collapsed="false">
      <c r="A39" s="5" t="s">
        <v>58</v>
      </c>
      <c r="B39" s="5" t="s">
        <v>100</v>
      </c>
      <c r="C39" s="5" t="s">
        <v>101</v>
      </c>
      <c r="D39" s="5" t="s">
        <v>99</v>
      </c>
      <c r="E39" s="5" t="s">
        <v>39</v>
      </c>
    </row>
    <row r="41" customFormat="false" ht="15" hidden="false" customHeight="false" outlineLevel="0" collapsed="false">
      <c r="A41" s="6" t="s">
        <v>102</v>
      </c>
      <c r="B41" s="6" t="n">
        <f aca="false">COUNTIF(A5:A39,"Supervisor")</f>
        <v>17</v>
      </c>
    </row>
    <row r="42" customFormat="false" ht="15" hidden="false" customHeight="false" outlineLevel="0" collapsed="false">
      <c r="A42" s="6" t="s">
        <v>103</v>
      </c>
      <c r="B42" s="6" t="n">
        <f aca="false">COUNTIF(A5:A39,"Superintendente")</f>
        <v>18</v>
      </c>
    </row>
    <row r="43" customFormat="false" ht="15" hidden="false" customHeight="false" outlineLevel="0" collapsed="false">
      <c r="A43" s="6" t="s">
        <v>104</v>
      </c>
      <c r="B43" s="6" t="n">
        <f aca="false">B41+B42</f>
        <v>35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2026-10-13T21:00:43Z</dcterms:created>
  <dc:creator>openpyxl</dc:creator>
  <dc:description/>
  <dc:language>en-US</dc:language>
  <cp:lastModifiedBy/>
  <dcterms:modified xsi:type="dcterms:W3CDTF">2026-10-13T21:00:43Z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