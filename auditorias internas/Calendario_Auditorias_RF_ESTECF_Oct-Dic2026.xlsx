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  <sheet name="Prioridad RF" sheetId="2" state="visible" r:id="rId4"/>
    <sheet name="Notas y metodolog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<sst xmlns="http://schemas.openxmlformats.org/spreadsheetml/2006/main" count="212" uniqueCount="89">
  <si>
    <t xml:space="preserve">Calendario de Auditorías Internas — 17 RF + EST/ECF (SKIC 424 · RESSO)</t>
  </si>
  <si>
    <t xml:space="preserve">Período: octubre - diciembre 2026  ·  Base de % avance: dashboard "Avance RESSO", generado 2026-09-21 13:30 (dotación activa 991)</t>
  </si>
  <si>
    <t xml:space="preserve">Semana</t>
  </si>
  <si>
    <t xml:space="preserve">Fecha</t>
  </si>
  <si>
    <t xml:space="preserve">Día</t>
  </si>
  <si>
    <t xml:space="preserve">Tipo</t>
  </si>
  <si>
    <t xml:space="preserve">Auditoría / Documento</t>
  </si>
  <si>
    <t xml:space="preserve">% avance actual</t>
  </si>
  <si>
    <t xml:space="preserve">Responsable</t>
  </si>
  <si>
    <t xml:space="preserve">Estado</t>
  </si>
  <si>
    <t xml:space="preserve">Observaciones</t>
  </si>
  <si>
    <t xml:space="preserve">Resumen del programa</t>
  </si>
  <si>
    <t xml:space="preserve">Lunes</t>
  </si>
  <si>
    <t xml:space="preserve">EST/ECF</t>
  </si>
  <si>
    <t xml:space="preserve">Auditoría general EST y ECF</t>
  </si>
  <si>
    <t xml:space="preserve">Pendiente</t>
  </si>
  <si>
    <t xml:space="preserve">Total auditorías</t>
  </si>
  <si>
    <t xml:space="preserve">Miércoles</t>
  </si>
  <si>
    <t xml:space="preserve">RF</t>
  </si>
  <si>
    <t xml:space="preserve">RF-18 Evaluación RF Planchoneo vs01</t>
  </si>
  <si>
    <t xml:space="preserve">Realizadas</t>
  </si>
  <si>
    <t xml:space="preserve">Viernes</t>
  </si>
  <si>
    <t xml:space="preserve">RF-31 Evaluación RF Incendio de equipos mineros e industriales</t>
  </si>
  <si>
    <t xml:space="preserve">Pendientes</t>
  </si>
  <si>
    <t xml:space="preserve">Martes</t>
  </si>
  <si>
    <t xml:space="preserve">Reprogramado del lunes 12-oct (feriado: Encuentro de Dos Mundos)</t>
  </si>
  <si>
    <t xml:space="preserve">Reprogramadas</t>
  </si>
  <si>
    <t xml:space="preserve">RF-23 Evaluación RF Colapso Estructural del Macizo Rocoso vs1</t>
  </si>
  <si>
    <t xml:space="preserve">% del programa realizado</t>
  </si>
  <si>
    <t xml:space="preserve">RF-25 Evaluación RF Equipos Mineros e Industriales vs1</t>
  </si>
  <si>
    <t xml:space="preserve">RF (17)</t>
  </si>
  <si>
    <t xml:space="preserve">RF-22 Evaluación RF Falla de estructuras para tránsito y uso de personas vs1</t>
  </si>
  <si>
    <t xml:space="preserve">EST/ECF (13)</t>
  </si>
  <si>
    <t xml:space="preserve">RF-30 Evaluación RF Tiro y arrastre vs 0</t>
  </si>
  <si>
    <t xml:space="preserve">Leyenda</t>
  </si>
  <si>
    <t xml:space="preserve">RF-03 Evaluación RF Maniobras de Izajes vs 02</t>
  </si>
  <si>
    <t xml:space="preserve">Auditoría de Riesgo Fatal</t>
  </si>
  <si>
    <t xml:space="preserve">RF-07 Evaluación RF Sustancias Peligrosas vs 03</t>
  </si>
  <si>
    <t xml:space="preserve">Auditoría general Estándares/Elem. Críticos</t>
  </si>
  <si>
    <t xml:space="preserve">   </t>
  </si>
  <si>
    <t xml:space="preserve">Celda para completar (Responsable / Estado / Obs.)</t>
  </si>
  <si>
    <t xml:space="preserve">RF-27 Evaluación RF Atropello</t>
  </si>
  <si>
    <t xml:space="preserve">RF-06 Evaluación RF Incendio vs 02</t>
  </si>
  <si>
    <t xml:space="preserve">RF-20 Evaluación RF Sílice vs1</t>
  </si>
  <si>
    <t xml:space="preserve">RF-10 Evaluación RF Vehículos vs 01</t>
  </si>
  <si>
    <t xml:space="preserve">RF-01 Evaluación RF Energía Eléctrica vs 03</t>
  </si>
  <si>
    <t xml:space="preserve">RF-16 Evaluación RF Vaciados de Chimeneas y Piques vs01</t>
  </si>
  <si>
    <t xml:space="preserve">RF-04 Evaluación RF Liberación Descontrolada de Energías vs 02</t>
  </si>
  <si>
    <t xml:space="preserve">Semana previa a fiestas de fin de año - confirmar disponibilidad</t>
  </si>
  <si>
    <t xml:space="preserve">RF-02 Evaluación RF Trabajo en altura vs 03</t>
  </si>
  <si>
    <t xml:space="preserve">Semana previa a Navidad (feriado 25-dic) - confirmar disponibilidad</t>
  </si>
  <si>
    <t xml:space="preserve">Semana de Año Nuevo - confirmar disponibilidad</t>
  </si>
  <si>
    <t xml:space="preserve">RF-13 Caída de Objetos vs01</t>
  </si>
  <si>
    <t xml:space="preserve">Priorización de los 17 RF — de menor a mayor % de avance actual</t>
  </si>
  <si>
    <t xml:space="preserve">Criterio: se audita primero el RF con menor % de trabajadores al día, para dejar el máximo tiempo posible de reacción antes de fin de año.</t>
  </si>
  <si>
    <t xml:space="preserve">Prioridad</t>
  </si>
  <si>
    <t xml:space="preserve">Documento</t>
  </si>
  <si>
    <t xml:space="preserve">Aprobados / Dotación</t>
  </si>
  <si>
    <t xml:space="preserve">Fecha auditoría asignada</t>
  </si>
  <si>
    <t xml:space="preserve">221 / 991</t>
  </si>
  <si>
    <t xml:space="preserve">222 / 991</t>
  </si>
  <si>
    <t xml:space="preserve">223 / 991</t>
  </si>
  <si>
    <t xml:space="preserve">224 / 991</t>
  </si>
  <si>
    <t xml:space="preserve">409 / 991</t>
  </si>
  <si>
    <t xml:space="preserve">414 / 991</t>
  </si>
  <si>
    <t xml:space="preserve">415 / 991</t>
  </si>
  <si>
    <t xml:space="preserve">416 / 991</t>
  </si>
  <si>
    <t xml:space="preserve">419 / 991</t>
  </si>
  <si>
    <t xml:space="preserve">423 / 991</t>
  </si>
  <si>
    <t xml:space="preserve">425 / 991</t>
  </si>
  <si>
    <t xml:space="preserve">Notas y metodología</t>
  </si>
  <si>
    <t xml:space="preserve">Alcance</t>
  </si>
  <si>
    <t xml:space="preserve">Cubre los 17 documentos RF que dependen de SKIC (evaluados vía Microsoft Forms / Plataforma nueva / Maestra en el dashboard "Avance RESSO") más un bloque periódico general de auditoría EST/ECF.</t>
  </si>
  <si>
    <t xml:space="preserve">Cadencia RF</t>
  </si>
  <si>
    <t xml:space="preserve">1 auditoría por semana en régimen normal. Para que las 17 auditorías calcen dentro del trimestre (13 semanas disponibles entre oct y dic), las primeras 4 semanas llevan 2 auditorías RF cada una (miércoles y viernes) — ver aviso más abajo.</t>
  </si>
  <si>
    <t xml:space="preserve">Cadencia EST/ECF</t>
  </si>
  <si>
    <t xml:space="preserve">1 auditoría general por semana (lunes), 13 en total. El alcance específico — qué Estándares (EST) y qué Elementos Críticos de Fatalidad (ECF) se revisan cada sesión — no estaba definido en la información disponible; queda como bloque genérico para completar según el checklist que uses en terreno.</t>
  </si>
  <si>
    <t xml:space="preserve">Orden de prioridad RF</t>
  </si>
  <si>
    <t xml:space="preserve">Se audita primero el RF con menor % de trabajadores al día (hoja "Prioridad RF"), para dejar el máximo margen de reacción antes del 31-dic.</t>
  </si>
  <si>
    <t xml:space="preserve">Ajuste por feriado</t>
  </si>
  <si>
    <t xml:space="preserve">La auditoría EST/ECF de la semana 2 se movió del lunes 12-oct (feriado Encuentro de Dos Mundos) al martes 13-oct.</t>
  </si>
  <si>
    <t xml:space="preserve">Semanas de fiestas de fin de año</t>
  </si>
  <si>
    <t xml:space="preserve">Las auditorías de las semanas 12 y 13 (21, 23, 28 y 30 de diciembre) caen en la semana previa a Navidad y en la semana de Año Nuevo. Quedan marcadas en la hoja "Calendario" para que confirmes disponibilidad o las reprogrames.</t>
  </si>
  <si>
    <t xml:space="preserve">Aviso sobre el cálculo original</t>
  </si>
  <si>
    <t xml:space="preserve">Al plantear la pregunta de cadencia se estimó que "1 auditoría RF por semana" dejaba semanas de margen — en realidad 17 auditorías a 1 por semana requieren 17 semanas, y de octubre a diciembre hay 13. Se corrigió duplicando el ritmo en las primeras 4 semanas para que las 17 queden cerradas dentro del trimestre.</t>
  </si>
  <si>
    <t xml:space="preserve">Cómo se usa</t>
  </si>
  <si>
    <t xml:space="preserve">En la hoja "Calendario", completa Responsable y ve cambiando Estado (Pendiente / Realizada / Reprogramada / No aplica) a medida que se ejecutan. El resumen de la esquina superior derecha de esa hoja se actualiza solo.</t>
  </si>
  <si>
    <t xml:space="preserve">Fuente de los % de avance</t>
  </si>
  <si>
    <t xml:space="preserve">Dashboard "Avance RESSO" (mismo tablero de la automatización diaria), snapshot generado 2026-09-21 13:30, dotación activa 991 trabajadores. Van a quedar desactualizados a medida que avancen las capacitaciones — antes de cada auditoría conviene revisar el dashboard para el número más reciente.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</si>
</sst>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4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B8420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8420F"/>
        <bgColor rgb="FF993366"/>
      </patternFill>
    </fill>
    <fill>
      <patternFill patternType="solid">
        <fgColor rgb="FF5C5440"/>
        <bgColor rgb="FF333333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E2EFDA"/>
      </patternFill>
    </fill>
    <fill>
      <patternFill patternType="solid">
        <fgColor rgb="FFDCE6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B842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1" min="11" style="0" width="24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</row>
    <row r="5" customFormat="false" ht="15" hidden="false" customHeight="false" outlineLevel="0" collapsed="false">
      <c r="A5" s="5" t="n">
        <v>1</v>
      </c>
      <c r="B5" s="6" t="n">
        <v>46300</v>
      </c>
      <c r="C5" s="5" t="s">
        <v>12</v>
      </c>
      <c r="D5" s="7" t="s">
        <v>13</v>
      </c>
      <c r="E5" s="5" t="s">
        <v>14</v>
      </c>
      <c r="F5" s="8"/>
      <c r="G5" s="9"/>
      <c r="H5" s="10" t="s">
        <v>15</v>
      </c>
      <c r="I5" s="11"/>
      <c r="K5" s="12" t="s">
        <v>16</v>
      </c>
      <c r="L5" s="12" t="n">
        <f aca="false">COUNTA(D5:D34)</f>
        <v>30</v>
      </c>
    </row>
    <row r="6" customFormat="false" ht="15" hidden="false" customHeight="false" outlineLevel="0" collapsed="false">
      <c r="A6" s="13" t="n">
        <v>1</v>
      </c>
      <c r="B6" s="14" t="n">
        <v>46302</v>
      </c>
      <c r="C6" s="13" t="s">
        <v>17</v>
      </c>
      <c r="D6" s="15" t="s">
        <v>18</v>
      </c>
      <c r="E6" s="13" t="s">
        <v>19</v>
      </c>
      <c r="F6" s="16" t="n">
        <v>0.223</v>
      </c>
      <c r="G6" s="9"/>
      <c r="H6" s="10" t="s">
        <v>15</v>
      </c>
      <c r="I6" s="11"/>
      <c r="K6" s="12" t="s">
        <v>20</v>
      </c>
      <c r="L6" s="12" t="n">
        <f aca="false">COUNTIF(H5:H34,"Realizada")</f>
        <v>0</v>
      </c>
    </row>
    <row r="7" customFormat="false" ht="15" hidden="false" customHeight="false" outlineLevel="0" collapsed="false">
      <c r="A7" s="13" t="n">
        <v>1</v>
      </c>
      <c r="B7" s="14" t="n">
        <v>46304</v>
      </c>
      <c r="C7" s="13" t="s">
        <v>21</v>
      </c>
      <c r="D7" s="15" t="s">
        <v>18</v>
      </c>
      <c r="E7" s="13" t="s">
        <v>22</v>
      </c>
      <c r="F7" s="16" t="n">
        <v>0.224</v>
      </c>
      <c r="G7" s="9"/>
      <c r="H7" s="10" t="s">
        <v>15</v>
      </c>
      <c r="I7" s="11"/>
      <c r="K7" s="12" t="s">
        <v>23</v>
      </c>
      <c r="L7" s="12" t="n">
        <f aca="false">COUNTIF(H5:H34,"Pendiente")</f>
        <v>30</v>
      </c>
    </row>
    <row r="8" customFormat="false" ht="15" hidden="false" customHeight="false" outlineLevel="0" collapsed="false">
      <c r="A8" s="5" t="n">
        <v>2</v>
      </c>
      <c r="B8" s="6" t="n">
        <v>46308</v>
      </c>
      <c r="C8" s="5" t="s">
        <v>24</v>
      </c>
      <c r="D8" s="7" t="s">
        <v>13</v>
      </c>
      <c r="E8" s="5" t="s">
        <v>14</v>
      </c>
      <c r="F8" s="8"/>
      <c r="G8" s="9"/>
      <c r="H8" s="10" t="s">
        <v>15</v>
      </c>
      <c r="I8" s="17" t="s">
        <v>25</v>
      </c>
      <c r="K8" s="12" t="s">
        <v>26</v>
      </c>
      <c r="L8" s="12" t="n">
        <f aca="false">COUNTIF(H5:H34,"Reprogramada")</f>
        <v>0</v>
      </c>
    </row>
    <row r="9" customFormat="false" ht="15" hidden="false" customHeight="false" outlineLevel="0" collapsed="false">
      <c r="A9" s="13" t="n">
        <v>2</v>
      </c>
      <c r="B9" s="14" t="n">
        <v>46309</v>
      </c>
      <c r="C9" s="13" t="s">
        <v>17</v>
      </c>
      <c r="D9" s="15" t="s">
        <v>18</v>
      </c>
      <c r="E9" s="13" t="s">
        <v>27</v>
      </c>
      <c r="F9" s="16" t="n">
        <v>0.224</v>
      </c>
      <c r="G9" s="9"/>
      <c r="H9" s="10" t="s">
        <v>15</v>
      </c>
      <c r="I9" s="11"/>
      <c r="K9" s="4" t="s">
        <v>28</v>
      </c>
      <c r="L9" s="18" t="n">
        <f aca="false">IFERROR(L6/L5,0)</f>
        <v>0</v>
      </c>
    </row>
    <row r="10" customFormat="false" ht="15" hidden="false" customHeight="false" outlineLevel="0" collapsed="false">
      <c r="A10" s="13" t="n">
        <v>2</v>
      </c>
      <c r="B10" s="14" t="n">
        <v>46311</v>
      </c>
      <c r="C10" s="13" t="s">
        <v>21</v>
      </c>
      <c r="D10" s="15" t="s">
        <v>18</v>
      </c>
      <c r="E10" s="13" t="s">
        <v>29</v>
      </c>
      <c r="F10" s="16" t="n">
        <v>0.225</v>
      </c>
      <c r="G10" s="9"/>
      <c r="H10" s="10" t="s">
        <v>15</v>
      </c>
      <c r="I10" s="11"/>
    </row>
    <row r="11" customFormat="false" ht="15" hidden="false" customHeight="false" outlineLevel="0" collapsed="false">
      <c r="A11" s="5" t="n">
        <v>3</v>
      </c>
      <c r="B11" s="6" t="n">
        <v>46314</v>
      </c>
      <c r="C11" s="5" t="s">
        <v>12</v>
      </c>
      <c r="D11" s="7" t="s">
        <v>13</v>
      </c>
      <c r="E11" s="5" t="s">
        <v>14</v>
      </c>
      <c r="F11" s="8"/>
      <c r="G11" s="9"/>
      <c r="H11" s="10" t="s">
        <v>15</v>
      </c>
      <c r="I11" s="11"/>
      <c r="K11" s="12" t="s">
        <v>30</v>
      </c>
      <c r="L11" s="12" t="n">
        <f aca="false">COUNTIF(D5:D34,"RF")</f>
        <v>17</v>
      </c>
    </row>
    <row r="12" customFormat="false" ht="15" hidden="false" customHeight="false" outlineLevel="0" collapsed="false">
      <c r="A12" s="13" t="n">
        <v>3</v>
      </c>
      <c r="B12" s="14" t="n">
        <v>46316</v>
      </c>
      <c r="C12" s="13" t="s">
        <v>17</v>
      </c>
      <c r="D12" s="15" t="s">
        <v>18</v>
      </c>
      <c r="E12" s="13" t="s">
        <v>31</v>
      </c>
      <c r="F12" s="16" t="n">
        <v>0.226</v>
      </c>
      <c r="G12" s="9"/>
      <c r="H12" s="10" t="s">
        <v>15</v>
      </c>
      <c r="I12" s="11"/>
      <c r="K12" s="12" t="s">
        <v>32</v>
      </c>
      <c r="L12" s="12" t="n">
        <f aca="false">COUNTIF(D5:D34,"EST/ECF")</f>
        <v>13</v>
      </c>
    </row>
    <row r="13" customFormat="false" ht="15" hidden="false" customHeight="false" outlineLevel="0" collapsed="false">
      <c r="A13" s="13" t="n">
        <v>3</v>
      </c>
      <c r="B13" s="14" t="n">
        <v>46318</v>
      </c>
      <c r="C13" s="13" t="s">
        <v>21</v>
      </c>
      <c r="D13" s="15" t="s">
        <v>18</v>
      </c>
      <c r="E13" s="13" t="s">
        <v>33</v>
      </c>
      <c r="F13" s="16" t="n">
        <v>0.413</v>
      </c>
      <c r="G13" s="9"/>
      <c r="H13" s="10" t="s">
        <v>15</v>
      </c>
      <c r="I13" s="11"/>
    </row>
    <row r="14" customFormat="false" ht="15" hidden="false" customHeight="false" outlineLevel="0" collapsed="false">
      <c r="A14" s="5" t="n">
        <v>4</v>
      </c>
      <c r="B14" s="6" t="n">
        <v>46321</v>
      </c>
      <c r="C14" s="5" t="s">
        <v>12</v>
      </c>
      <c r="D14" s="7" t="s">
        <v>13</v>
      </c>
      <c r="E14" s="5" t="s">
        <v>14</v>
      </c>
      <c r="F14" s="8"/>
      <c r="G14" s="9"/>
      <c r="H14" s="10" t="s">
        <v>15</v>
      </c>
      <c r="I14" s="11"/>
      <c r="K14" s="4" t="s">
        <v>34</v>
      </c>
    </row>
    <row r="15" customFormat="false" ht="15" hidden="false" customHeight="false" outlineLevel="0" collapsed="false">
      <c r="A15" s="13" t="n">
        <v>4</v>
      </c>
      <c r="B15" s="14" t="n">
        <v>46323</v>
      </c>
      <c r="C15" s="13" t="s">
        <v>17</v>
      </c>
      <c r="D15" s="15" t="s">
        <v>18</v>
      </c>
      <c r="E15" s="13" t="s">
        <v>35</v>
      </c>
      <c r="F15" s="16" t="n">
        <v>0.418</v>
      </c>
      <c r="G15" s="9"/>
      <c r="H15" s="10" t="s">
        <v>15</v>
      </c>
      <c r="I15" s="11"/>
      <c r="K15" s="19" t="s">
        <v>18</v>
      </c>
      <c r="L15" s="12" t="s">
        <v>36</v>
      </c>
    </row>
    <row r="16" customFormat="false" ht="15" hidden="false" customHeight="false" outlineLevel="0" collapsed="false">
      <c r="A16" s="13" t="n">
        <v>4</v>
      </c>
      <c r="B16" s="14" t="n">
        <v>46325</v>
      </c>
      <c r="C16" s="13" t="s">
        <v>21</v>
      </c>
      <c r="D16" s="15" t="s">
        <v>18</v>
      </c>
      <c r="E16" s="13" t="s">
        <v>37</v>
      </c>
      <c r="F16" s="16" t="n">
        <v>0.418</v>
      </c>
      <c r="G16" s="9"/>
      <c r="H16" s="10" t="s">
        <v>15</v>
      </c>
      <c r="I16" s="11"/>
      <c r="K16" s="20" t="s">
        <v>13</v>
      </c>
      <c r="L16" s="12" t="s">
        <v>38</v>
      </c>
    </row>
    <row r="17" customFormat="false" ht="15" hidden="false" customHeight="false" outlineLevel="0" collapsed="false">
      <c r="A17" s="5" t="n">
        <v>5</v>
      </c>
      <c r="B17" s="6" t="n">
        <v>46328</v>
      </c>
      <c r="C17" s="5" t="s">
        <v>12</v>
      </c>
      <c r="D17" s="7" t="s">
        <v>13</v>
      </c>
      <c r="E17" s="5" t="s">
        <v>14</v>
      </c>
      <c r="F17" s="8"/>
      <c r="G17" s="9"/>
      <c r="H17" s="10" t="s">
        <v>15</v>
      </c>
      <c r="I17" s="11"/>
      <c r="K17" s="21" t="s">
        <v>39</v>
      </c>
      <c r="L17" s="12" t="s">
        <v>40</v>
      </c>
    </row>
    <row r="18" customFormat="false" ht="15" hidden="false" customHeight="false" outlineLevel="0" collapsed="false">
      <c r="A18" s="13" t="n">
        <v>5</v>
      </c>
      <c r="B18" s="14" t="n">
        <v>46330</v>
      </c>
      <c r="C18" s="13" t="s">
        <v>17</v>
      </c>
      <c r="D18" s="15" t="s">
        <v>18</v>
      </c>
      <c r="E18" s="13" t="s">
        <v>41</v>
      </c>
      <c r="F18" s="16" t="n">
        <v>0.418</v>
      </c>
      <c r="G18" s="9"/>
      <c r="H18" s="10" t="s">
        <v>15</v>
      </c>
      <c r="I18" s="11"/>
    </row>
    <row r="19" customFormat="false" ht="15" hidden="false" customHeight="false" outlineLevel="0" collapsed="false">
      <c r="A19" s="5" t="n">
        <v>6</v>
      </c>
      <c r="B19" s="6" t="n">
        <v>46335</v>
      </c>
      <c r="C19" s="5" t="s">
        <v>12</v>
      </c>
      <c r="D19" s="7" t="s">
        <v>13</v>
      </c>
      <c r="E19" s="5" t="s">
        <v>14</v>
      </c>
      <c r="F19" s="8"/>
      <c r="G19" s="9"/>
      <c r="H19" s="10" t="s">
        <v>15</v>
      </c>
      <c r="I19" s="11"/>
    </row>
    <row r="20" customFormat="false" ht="15" hidden="false" customHeight="false" outlineLevel="0" collapsed="false">
      <c r="A20" s="13" t="n">
        <v>6</v>
      </c>
      <c r="B20" s="14" t="n">
        <v>46337</v>
      </c>
      <c r="C20" s="13" t="s">
        <v>17</v>
      </c>
      <c r="D20" s="15" t="s">
        <v>18</v>
      </c>
      <c r="E20" s="13" t="s">
        <v>42</v>
      </c>
      <c r="F20" s="16" t="n">
        <v>0.418</v>
      </c>
      <c r="G20" s="9"/>
      <c r="H20" s="10" t="s">
        <v>15</v>
      </c>
      <c r="I20" s="11"/>
    </row>
    <row r="21" customFormat="false" ht="15" hidden="false" customHeight="false" outlineLevel="0" collapsed="false">
      <c r="A21" s="5" t="n">
        <v>7</v>
      </c>
      <c r="B21" s="6" t="n">
        <v>46342</v>
      </c>
      <c r="C21" s="5" t="s">
        <v>12</v>
      </c>
      <c r="D21" s="7" t="s">
        <v>13</v>
      </c>
      <c r="E21" s="5" t="s">
        <v>14</v>
      </c>
      <c r="F21" s="8"/>
      <c r="G21" s="9"/>
      <c r="H21" s="10" t="s">
        <v>15</v>
      </c>
      <c r="I21" s="11"/>
    </row>
    <row r="22" customFormat="false" ht="15" hidden="false" customHeight="false" outlineLevel="0" collapsed="false">
      <c r="A22" s="13" t="n">
        <v>7</v>
      </c>
      <c r="B22" s="14" t="n">
        <v>46344</v>
      </c>
      <c r="C22" s="13" t="s">
        <v>17</v>
      </c>
      <c r="D22" s="15" t="s">
        <v>18</v>
      </c>
      <c r="E22" s="13" t="s">
        <v>43</v>
      </c>
      <c r="F22" s="16" t="n">
        <v>0.418</v>
      </c>
      <c r="G22" s="9"/>
      <c r="H22" s="10" t="s">
        <v>15</v>
      </c>
      <c r="I22" s="11"/>
    </row>
    <row r="23" customFormat="false" ht="15" hidden="false" customHeight="false" outlineLevel="0" collapsed="false">
      <c r="A23" s="5" t="n">
        <v>8</v>
      </c>
      <c r="B23" s="6" t="n">
        <v>46349</v>
      </c>
      <c r="C23" s="5" t="s">
        <v>12</v>
      </c>
      <c r="D23" s="7" t="s">
        <v>13</v>
      </c>
      <c r="E23" s="5" t="s">
        <v>14</v>
      </c>
      <c r="F23" s="8"/>
      <c r="G23" s="9"/>
      <c r="H23" s="10" t="s">
        <v>15</v>
      </c>
      <c r="I23" s="11"/>
    </row>
    <row r="24" customFormat="false" ht="15" hidden="false" customHeight="false" outlineLevel="0" collapsed="false">
      <c r="A24" s="13" t="n">
        <v>8</v>
      </c>
      <c r="B24" s="14" t="n">
        <v>46351</v>
      </c>
      <c r="C24" s="13" t="s">
        <v>17</v>
      </c>
      <c r="D24" s="15" t="s">
        <v>18</v>
      </c>
      <c r="E24" s="13" t="s">
        <v>44</v>
      </c>
      <c r="F24" s="16" t="n">
        <v>0.418</v>
      </c>
      <c r="G24" s="9"/>
      <c r="H24" s="10" t="s">
        <v>15</v>
      </c>
      <c r="I24" s="11"/>
    </row>
    <row r="25" customFormat="false" ht="15" hidden="false" customHeight="false" outlineLevel="0" collapsed="false">
      <c r="A25" s="5" t="n">
        <v>9</v>
      </c>
      <c r="B25" s="6" t="n">
        <v>46356</v>
      </c>
      <c r="C25" s="5" t="s">
        <v>12</v>
      </c>
      <c r="D25" s="7" t="s">
        <v>13</v>
      </c>
      <c r="E25" s="5" t="s">
        <v>14</v>
      </c>
      <c r="F25" s="8"/>
      <c r="G25" s="9"/>
      <c r="H25" s="10" t="s">
        <v>15</v>
      </c>
      <c r="I25" s="11"/>
    </row>
    <row r="26" customFormat="false" ht="15" hidden="false" customHeight="false" outlineLevel="0" collapsed="false">
      <c r="A26" s="13" t="n">
        <v>9</v>
      </c>
      <c r="B26" s="14" t="n">
        <v>46358</v>
      </c>
      <c r="C26" s="13" t="s">
        <v>17</v>
      </c>
      <c r="D26" s="15" t="s">
        <v>18</v>
      </c>
      <c r="E26" s="13" t="s">
        <v>45</v>
      </c>
      <c r="F26" s="16" t="n">
        <v>0.419</v>
      </c>
      <c r="G26" s="9"/>
      <c r="H26" s="10" t="s">
        <v>15</v>
      </c>
      <c r="I26" s="11"/>
    </row>
    <row r="27" customFormat="false" ht="15" hidden="false" customHeight="false" outlineLevel="0" collapsed="false">
      <c r="A27" s="5" t="n">
        <v>10</v>
      </c>
      <c r="B27" s="6" t="n">
        <v>46363</v>
      </c>
      <c r="C27" s="5" t="s">
        <v>12</v>
      </c>
      <c r="D27" s="7" t="s">
        <v>13</v>
      </c>
      <c r="E27" s="5" t="s">
        <v>14</v>
      </c>
      <c r="F27" s="8"/>
      <c r="G27" s="9"/>
      <c r="H27" s="10" t="s">
        <v>15</v>
      </c>
      <c r="I27" s="11"/>
    </row>
    <row r="28" customFormat="false" ht="15" hidden="false" customHeight="false" outlineLevel="0" collapsed="false">
      <c r="A28" s="13" t="n">
        <v>10</v>
      </c>
      <c r="B28" s="14" t="n">
        <v>46365</v>
      </c>
      <c r="C28" s="13" t="s">
        <v>17</v>
      </c>
      <c r="D28" s="15" t="s">
        <v>18</v>
      </c>
      <c r="E28" s="13" t="s">
        <v>46</v>
      </c>
      <c r="F28" s="16" t="n">
        <v>0.42</v>
      </c>
      <c r="G28" s="9"/>
      <c r="H28" s="10" t="s">
        <v>15</v>
      </c>
      <c r="I28" s="11"/>
    </row>
    <row r="29" customFormat="false" ht="15" hidden="false" customHeight="false" outlineLevel="0" collapsed="false">
      <c r="A29" s="5" t="n">
        <v>11</v>
      </c>
      <c r="B29" s="6" t="n">
        <v>46370</v>
      </c>
      <c r="C29" s="5" t="s">
        <v>12</v>
      </c>
      <c r="D29" s="7" t="s">
        <v>13</v>
      </c>
      <c r="E29" s="5" t="s">
        <v>14</v>
      </c>
      <c r="F29" s="8"/>
      <c r="G29" s="9"/>
      <c r="H29" s="10" t="s">
        <v>15</v>
      </c>
      <c r="I29" s="11"/>
    </row>
    <row r="30" customFormat="false" ht="15" hidden="false" customHeight="false" outlineLevel="0" collapsed="false">
      <c r="A30" s="13" t="n">
        <v>11</v>
      </c>
      <c r="B30" s="14" t="n">
        <v>46372</v>
      </c>
      <c r="C30" s="13" t="s">
        <v>17</v>
      </c>
      <c r="D30" s="15" t="s">
        <v>18</v>
      </c>
      <c r="E30" s="13" t="s">
        <v>47</v>
      </c>
      <c r="F30" s="16" t="n">
        <v>0.423</v>
      </c>
      <c r="G30" s="9"/>
      <c r="H30" s="10" t="s">
        <v>15</v>
      </c>
      <c r="I30" s="11"/>
    </row>
    <row r="31" customFormat="false" ht="15" hidden="false" customHeight="false" outlineLevel="0" collapsed="false">
      <c r="A31" s="5" t="n">
        <v>12</v>
      </c>
      <c r="B31" s="6" t="n">
        <v>46377</v>
      </c>
      <c r="C31" s="5" t="s">
        <v>12</v>
      </c>
      <c r="D31" s="7" t="s">
        <v>13</v>
      </c>
      <c r="E31" s="5" t="s">
        <v>14</v>
      </c>
      <c r="F31" s="8"/>
      <c r="G31" s="9"/>
      <c r="H31" s="10" t="s">
        <v>15</v>
      </c>
      <c r="I31" s="17" t="s">
        <v>48</v>
      </c>
    </row>
    <row r="32" customFormat="false" ht="15" hidden="false" customHeight="false" outlineLevel="0" collapsed="false">
      <c r="A32" s="13" t="n">
        <v>12</v>
      </c>
      <c r="B32" s="14" t="n">
        <v>46379</v>
      </c>
      <c r="C32" s="13" t="s">
        <v>17</v>
      </c>
      <c r="D32" s="15" t="s">
        <v>18</v>
      </c>
      <c r="E32" s="13" t="s">
        <v>49</v>
      </c>
      <c r="F32" s="16" t="n">
        <v>0.427</v>
      </c>
      <c r="G32" s="9"/>
      <c r="H32" s="10" t="s">
        <v>15</v>
      </c>
      <c r="I32" s="17" t="s">
        <v>50</v>
      </c>
    </row>
    <row r="33" customFormat="false" ht="15" hidden="false" customHeight="false" outlineLevel="0" collapsed="false">
      <c r="A33" s="5" t="n">
        <v>13</v>
      </c>
      <c r="B33" s="6" t="n">
        <v>46384</v>
      </c>
      <c r="C33" s="5" t="s">
        <v>12</v>
      </c>
      <c r="D33" s="7" t="s">
        <v>13</v>
      </c>
      <c r="E33" s="5" t="s">
        <v>14</v>
      </c>
      <c r="F33" s="8"/>
      <c r="G33" s="9"/>
      <c r="H33" s="10" t="s">
        <v>15</v>
      </c>
      <c r="I33" s="17" t="s">
        <v>51</v>
      </c>
    </row>
    <row r="34" customFormat="false" ht="15" hidden="false" customHeight="false" outlineLevel="0" collapsed="false">
      <c r="A34" s="13" t="n">
        <v>13</v>
      </c>
      <c r="B34" s="14" t="n">
        <v>46386</v>
      </c>
      <c r="C34" s="13" t="s">
        <v>17</v>
      </c>
      <c r="D34" s="15" t="s">
        <v>18</v>
      </c>
      <c r="E34" s="13" t="s">
        <v>52</v>
      </c>
      <c r="F34" s="16" t="n">
        <v>0.429</v>
      </c>
      <c r="G34" s="9"/>
      <c r="H34" s="10" t="s">
        <v>15</v>
      </c>
      <c r="I34" s="17" t="s">
        <v>51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34" type="list">
      <formula1>"Pendiente,Realizada,Reprogramada,No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24" hidden="false" customHeight="true" outlineLevel="0" collapsed="false">
      <c r="A1" s="22" t="s">
        <v>53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55</v>
      </c>
      <c r="B4" s="3" t="s">
        <v>56</v>
      </c>
      <c r="C4" s="3" t="s">
        <v>7</v>
      </c>
      <c r="D4" s="3" t="s">
        <v>57</v>
      </c>
      <c r="E4" s="3" t="s">
        <v>58</v>
      </c>
      <c r="F4" s="3" t="s">
        <v>2</v>
      </c>
    </row>
    <row r="5" customFormat="false" ht="15" hidden="false" customHeight="false" outlineLevel="0" collapsed="false">
      <c r="A5" s="23" t="n">
        <v>1</v>
      </c>
      <c r="B5" s="23" t="s">
        <v>19</v>
      </c>
      <c r="C5" s="24" t="n">
        <v>0.223</v>
      </c>
      <c r="D5" s="23" t="s">
        <v>59</v>
      </c>
      <c r="E5" s="25" t="n">
        <v>46302</v>
      </c>
      <c r="F5" s="23" t="n">
        <v>1</v>
      </c>
    </row>
    <row r="6" customFormat="false" ht="15" hidden="false" customHeight="false" outlineLevel="0" collapsed="false">
      <c r="A6" s="23" t="n">
        <v>2</v>
      </c>
      <c r="B6" s="23" t="s">
        <v>22</v>
      </c>
      <c r="C6" s="24" t="n">
        <v>0.224</v>
      </c>
      <c r="D6" s="23" t="s">
        <v>60</v>
      </c>
      <c r="E6" s="25" t="n">
        <v>46304</v>
      </c>
      <c r="F6" s="23" t="n">
        <v>1</v>
      </c>
    </row>
    <row r="7" customFormat="false" ht="15" hidden="false" customHeight="false" outlineLevel="0" collapsed="false">
      <c r="A7" s="23" t="n">
        <v>3</v>
      </c>
      <c r="B7" s="23" t="s">
        <v>27</v>
      </c>
      <c r="C7" s="24" t="n">
        <v>0.224</v>
      </c>
      <c r="D7" s="23" t="s">
        <v>60</v>
      </c>
      <c r="E7" s="25" t="n">
        <v>46309</v>
      </c>
      <c r="F7" s="23" t="n">
        <v>2</v>
      </c>
    </row>
    <row r="8" customFormat="false" ht="15" hidden="false" customHeight="false" outlineLevel="0" collapsed="false">
      <c r="A8" s="23" t="n">
        <v>4</v>
      </c>
      <c r="B8" s="23" t="s">
        <v>29</v>
      </c>
      <c r="C8" s="24" t="n">
        <v>0.225</v>
      </c>
      <c r="D8" s="23" t="s">
        <v>61</v>
      </c>
      <c r="E8" s="25" t="n">
        <v>46311</v>
      </c>
      <c r="F8" s="23" t="n">
        <v>2</v>
      </c>
    </row>
    <row r="9" customFormat="false" ht="15" hidden="false" customHeight="false" outlineLevel="0" collapsed="false">
      <c r="A9" s="23" t="n">
        <v>5</v>
      </c>
      <c r="B9" s="23" t="s">
        <v>31</v>
      </c>
      <c r="C9" s="24" t="n">
        <v>0.226</v>
      </c>
      <c r="D9" s="23" t="s">
        <v>62</v>
      </c>
      <c r="E9" s="25" t="n">
        <v>46316</v>
      </c>
      <c r="F9" s="23" t="n">
        <v>3</v>
      </c>
    </row>
    <row r="10" customFormat="false" ht="15" hidden="false" customHeight="false" outlineLevel="0" collapsed="false">
      <c r="A10" s="23" t="n">
        <v>6</v>
      </c>
      <c r="B10" s="23" t="s">
        <v>33</v>
      </c>
      <c r="C10" s="24" t="n">
        <v>0.413</v>
      </c>
      <c r="D10" s="23" t="s">
        <v>63</v>
      </c>
      <c r="E10" s="25" t="n">
        <v>46318</v>
      </c>
      <c r="F10" s="23" t="n">
        <v>3</v>
      </c>
    </row>
    <row r="11" customFormat="false" ht="15" hidden="false" customHeight="false" outlineLevel="0" collapsed="false">
      <c r="A11" s="23" t="n">
        <v>7</v>
      </c>
      <c r="B11" s="23" t="s">
        <v>35</v>
      </c>
      <c r="C11" s="24" t="n">
        <v>0.418</v>
      </c>
      <c r="D11" s="23" t="s">
        <v>64</v>
      </c>
      <c r="E11" s="25" t="n">
        <v>46323</v>
      </c>
      <c r="F11" s="23" t="n">
        <v>4</v>
      </c>
    </row>
    <row r="12" customFormat="false" ht="15" hidden="false" customHeight="false" outlineLevel="0" collapsed="false">
      <c r="A12" s="23" t="n">
        <v>8</v>
      </c>
      <c r="B12" s="23" t="s">
        <v>37</v>
      </c>
      <c r="C12" s="24" t="n">
        <v>0.418</v>
      </c>
      <c r="D12" s="23" t="s">
        <v>64</v>
      </c>
      <c r="E12" s="25" t="n">
        <v>46325</v>
      </c>
      <c r="F12" s="23" t="n">
        <v>4</v>
      </c>
    </row>
    <row r="13" customFormat="false" ht="15" hidden="false" customHeight="false" outlineLevel="0" collapsed="false">
      <c r="A13" s="23" t="n">
        <v>9</v>
      </c>
      <c r="B13" s="23" t="s">
        <v>41</v>
      </c>
      <c r="C13" s="24" t="n">
        <v>0.418</v>
      </c>
      <c r="D13" s="23" t="s">
        <v>64</v>
      </c>
      <c r="E13" s="25" t="n">
        <v>46330</v>
      </c>
      <c r="F13" s="23" t="n">
        <v>5</v>
      </c>
    </row>
    <row r="14" customFormat="false" ht="15" hidden="false" customHeight="false" outlineLevel="0" collapsed="false">
      <c r="A14" s="23" t="n">
        <v>10</v>
      </c>
      <c r="B14" s="23" t="s">
        <v>42</v>
      </c>
      <c r="C14" s="24" t="n">
        <v>0.418</v>
      </c>
      <c r="D14" s="23" t="s">
        <v>64</v>
      </c>
      <c r="E14" s="25" t="n">
        <v>46337</v>
      </c>
      <c r="F14" s="23" t="n">
        <v>6</v>
      </c>
    </row>
    <row r="15" customFormat="false" ht="15" hidden="false" customHeight="false" outlineLevel="0" collapsed="false">
      <c r="A15" s="23" t="n">
        <v>11</v>
      </c>
      <c r="B15" s="23" t="s">
        <v>43</v>
      </c>
      <c r="C15" s="24" t="n">
        <v>0.418</v>
      </c>
      <c r="D15" s="23" t="s">
        <v>64</v>
      </c>
      <c r="E15" s="25" t="n">
        <v>46344</v>
      </c>
      <c r="F15" s="23" t="n">
        <v>7</v>
      </c>
    </row>
    <row r="16" customFormat="false" ht="15" hidden="false" customHeight="false" outlineLevel="0" collapsed="false">
      <c r="A16" s="23" t="n">
        <v>12</v>
      </c>
      <c r="B16" s="23" t="s">
        <v>44</v>
      </c>
      <c r="C16" s="24" t="n">
        <v>0.418</v>
      </c>
      <c r="D16" s="23" t="s">
        <v>64</v>
      </c>
      <c r="E16" s="25" t="n">
        <v>46351</v>
      </c>
      <c r="F16" s="23" t="n">
        <v>8</v>
      </c>
    </row>
    <row r="17" customFormat="false" ht="15" hidden="false" customHeight="false" outlineLevel="0" collapsed="false">
      <c r="A17" s="23" t="n">
        <v>13</v>
      </c>
      <c r="B17" s="23" t="s">
        <v>45</v>
      </c>
      <c r="C17" s="24" t="n">
        <v>0.419</v>
      </c>
      <c r="D17" s="23" t="s">
        <v>65</v>
      </c>
      <c r="E17" s="25" t="n">
        <v>46358</v>
      </c>
      <c r="F17" s="23" t="n">
        <v>9</v>
      </c>
    </row>
    <row r="18" customFormat="false" ht="15" hidden="false" customHeight="false" outlineLevel="0" collapsed="false">
      <c r="A18" s="23" t="n">
        <v>14</v>
      </c>
      <c r="B18" s="23" t="s">
        <v>46</v>
      </c>
      <c r="C18" s="24" t="n">
        <v>0.42</v>
      </c>
      <c r="D18" s="23" t="s">
        <v>66</v>
      </c>
      <c r="E18" s="25" t="n">
        <v>46365</v>
      </c>
      <c r="F18" s="23" t="n">
        <v>10</v>
      </c>
    </row>
    <row r="19" customFormat="false" ht="15" hidden="false" customHeight="false" outlineLevel="0" collapsed="false">
      <c r="A19" s="23" t="n">
        <v>15</v>
      </c>
      <c r="B19" s="23" t="s">
        <v>47</v>
      </c>
      <c r="C19" s="24" t="n">
        <v>0.423</v>
      </c>
      <c r="D19" s="23" t="s">
        <v>67</v>
      </c>
      <c r="E19" s="25" t="n">
        <v>46372</v>
      </c>
      <c r="F19" s="23" t="n">
        <v>11</v>
      </c>
    </row>
    <row r="20" customFormat="false" ht="15" hidden="false" customHeight="false" outlineLevel="0" collapsed="false">
      <c r="A20" s="23" t="n">
        <v>16</v>
      </c>
      <c r="B20" s="23" t="s">
        <v>49</v>
      </c>
      <c r="C20" s="24" t="n">
        <v>0.427</v>
      </c>
      <c r="D20" s="23" t="s">
        <v>68</v>
      </c>
      <c r="E20" s="25" t="n">
        <v>46379</v>
      </c>
      <c r="F20" s="23" t="n">
        <v>12</v>
      </c>
    </row>
    <row r="21" customFormat="false" ht="15" hidden="false" customHeight="false" outlineLevel="0" collapsed="false">
      <c r="A21" s="23" t="n">
        <v>17</v>
      </c>
      <c r="B21" s="23" t="s">
        <v>52</v>
      </c>
      <c r="C21" s="24" t="n">
        <v>0.429</v>
      </c>
      <c r="D21" s="23" t="s">
        <v>69</v>
      </c>
      <c r="E21" s="25" t="n">
        <v>46386</v>
      </c>
      <c r="F21" s="23" t="n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4" hidden="false" customHeight="true" outlineLevel="0" collapsed="false">
      <c r="A1" s="22" t="s">
        <v>70</v>
      </c>
      <c r="B1" s="22"/>
    </row>
    <row r="3" customFormat="false" ht="45.75" hidden="false" customHeight="true" outlineLevel="0" collapsed="false">
      <c r="A3" s="26" t="s">
        <v>71</v>
      </c>
      <c r="B3" s="27" t="s">
        <v>72</v>
      </c>
    </row>
    <row r="5" customFormat="false" ht="45.75" hidden="false" customHeight="true" outlineLevel="0" collapsed="false">
      <c r="A5" s="26" t="s">
        <v>73</v>
      </c>
      <c r="B5" s="27" t="s">
        <v>74</v>
      </c>
    </row>
    <row r="7" customFormat="false" ht="45.75" hidden="false" customHeight="true" outlineLevel="0" collapsed="false">
      <c r="A7" s="26" t="s">
        <v>75</v>
      </c>
      <c r="B7" s="27" t="s">
        <v>76</v>
      </c>
    </row>
    <row r="9" customFormat="false" ht="45.75" hidden="false" customHeight="true" outlineLevel="0" collapsed="false">
      <c r="A9" s="26" t="s">
        <v>77</v>
      </c>
      <c r="B9" s="27" t="s">
        <v>78</v>
      </c>
    </row>
    <row r="11" customFormat="false" ht="45.75" hidden="false" customHeight="true" outlineLevel="0" collapsed="false">
      <c r="A11" s="26" t="s">
        <v>79</v>
      </c>
      <c r="B11" s="27" t="s">
        <v>80</v>
      </c>
    </row>
    <row r="13" customFormat="false" ht="45.75" hidden="false" customHeight="true" outlineLevel="0" collapsed="false">
      <c r="A13" s="26" t="s">
        <v>81</v>
      </c>
      <c r="B13" s="27" t="s">
        <v>82</v>
      </c>
    </row>
    <row r="15" customFormat="false" ht="45.75" hidden="false" customHeight="true" outlineLevel="0" collapsed="false">
      <c r="A15" s="26" t="s">
        <v>83</v>
      </c>
      <c r="B15" s="27" t="s">
        <v>84</v>
      </c>
    </row>
    <row r="17" customFormat="false" ht="45.75" hidden="false" customHeight="true" outlineLevel="0" collapsed="false">
      <c r="A17" s="26" t="s">
        <v>85</v>
      </c>
      <c r="B17" s="27" t="s">
        <v>86</v>
      </c>
    </row>
    <row r="19" customFormat="false" ht="45.75" hidden="false" customHeight="true" outlineLevel="0" collapsed="false">
      <c r="A19" s="26" t="s">
        <v>87</v>
      </c>
      <c r="B19" s="27" t="s">
        <v>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2026-09-21T19:42:59Z</dcterms:created>
  <dc:creator>openpyxl</dc:creator>
  <dc:description/>
  <dc:language>en-US</dc:language>
  <cp:lastModifiedBy/>
  <dcterms:modified xsi:type="dcterms:W3CDTF">2026-09-21T19:43:28Z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