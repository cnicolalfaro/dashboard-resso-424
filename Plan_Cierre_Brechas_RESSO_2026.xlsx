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Pista A - Cursos Críticos" sheetId="2" state="visible" r:id="rId4"/>
    <sheet name="Pista B - Admin y Plataforma" sheetId="3" state="visible" r:id="rId5"/>
    <sheet name="Cronograma de Sesion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<sst xmlns="http://schemas.openxmlformats.org/spreadsheetml/2006/main" count="455" uniqueCount="162">
  <si>
    <t xml:space="preserve">Plan de Cierre de Brechas RESSO — Septiembre a Diciembre 2026</t>
  </si>
  <si>
    <t xml:space="preserve">Base: dashboard Avance RESSO, generado 2026-09-15 17:03  ·  Dotación activa: 991 personas  ·  68 documentos</t>
  </si>
  <si>
    <t xml:space="preserve">Supuestos clave del plan (editables)</t>
  </si>
  <si>
    <t xml:space="preserve">Supuesto</t>
  </si>
  <si>
    <t xml:space="preserve">Valor</t>
  </si>
  <si>
    <t xml:space="preserve">Nota</t>
  </si>
  <si>
    <t xml:space="preserve">Sesiones presenciales por semana disponibles</t>
  </si>
  <si>
    <t xml:space="preserve">Capacidad declarada como 'baja'. Ajustar aquí si cambia la disponibilidad de instructores/salas.</t>
  </si>
  <si>
    <t xml:space="preserve">Sesiones necesarias para cerrar 1 curso a nivel de toda la dotación</t>
  </si>
  <si>
    <t xml:space="preserve">Un grupo de turno A, uno de turno B, y uno para los turnos menores (C/D/8X6/4X3/5X2).</t>
  </si>
  <si>
    <t xml:space="preserve">Semanas efectivas de capacitación (21-sep al 14-dic)</t>
  </si>
  <si>
    <t xml:space="preserve">Se excluye la última quincena de diciembre por cierre de año.</t>
  </si>
  <si>
    <t xml:space="preserve">Meta de avance para un curso 'cerrado' en la Pista A</t>
  </si>
  <si>
    <t xml:space="preserve">No se asume 100% literal: permisos, ausentismo y casos excepcionales.</t>
  </si>
  <si>
    <t xml:space="preserve">Meta de avance para Pista B (administrativa/plataforma) a diciembre</t>
  </si>
  <si>
    <t xml:space="preserve">No gatillada por capacidad de instructores, pero sí requiere seguimiento administrativo sostenido.</t>
  </si>
  <si>
    <t xml:space="preserve">Proyección de avance global (resultado del plan, no un objetivo forzado a 100%)</t>
  </si>
  <si>
    <t xml:space="preserve">Corte</t>
  </si>
  <si>
    <t xml:space="preserve">Pista A — Críticos (18 cursos)</t>
  </si>
  <si>
    <t xml:space="preserve">Pista B — Admin/Plataforma (50 cursos)</t>
  </si>
  <si>
    <t xml:space="preserve">Global (68 cursos)</t>
  </si>
  <si>
    <t xml:space="preserve">Hoy (15-sep-2026)</t>
  </si>
  <si>
    <t xml:space="preserve">Fin septiembre</t>
  </si>
  <si>
    <t xml:space="preserve">Fin octubre — cierre oleada 1 (3 cursos)</t>
  </si>
  <si>
    <t xml:space="preserve">Fin noviembre — cierre oleada 2 (3 cursos)</t>
  </si>
  <si>
    <t xml:space="preserve">Fin diciembre — cierre oleada 3 (2 cursos) / meta del plan</t>
  </si>
  <si>
    <t xml:space="preserve">Nota: con la capacidad declarada (baja), llegar a 100% en los 68 cursos para el 31-dic no es realista.</t>
  </si>
  <si>
    <t xml:space="preserve">El plan prioriza cerrar por completo 8 de los 18 cursos críticos (Riesgos de Fatalidad + Reglamentos), y deja 10 para el primer trimestre 2027 (ver hoja 'Pista A').</t>
  </si>
  <si>
    <t xml:space="preserve">Pista A — Cursos críticos con evaluación presencial (Riesgos de Fatalidad + Reglamentos)</t>
  </si>
  <si>
    <t xml:space="preserve">Gatillados por capacidad de instructores/turnos. Ordenados por brecha actual (menor a mayor).</t>
  </si>
  <si>
    <t xml:space="preserve">#</t>
  </si>
  <si>
    <t xml:space="preserve">Curso</t>
  </si>
  <si>
    <t xml:space="preserve">Avance actual</t>
  </si>
  <si>
    <t xml:space="preserve">Pendientes actuales</t>
  </si>
  <si>
    <t xml:space="preserve">Oleada</t>
  </si>
  <si>
    <t xml:space="preserve">Mes objetivo</t>
  </si>
  <si>
    <t xml:space="preserve">¿Se cierra en el plan?</t>
  </si>
  <si>
    <t xml:space="preserve">Meta 31-dic</t>
  </si>
  <si>
    <t xml:space="preserve">RF-13 Caída de Objetos vs01</t>
  </si>
  <si>
    <t xml:space="preserve">Oleada 1</t>
  </si>
  <si>
    <t xml:space="preserve">Octubre</t>
  </si>
  <si>
    <t xml:space="preserve">Sí</t>
  </si>
  <si>
    <t xml:space="preserve">RF-02 Evaluación RF Trabajo en altura vs 03</t>
  </si>
  <si>
    <t xml:space="preserve">RF-04 Evaluación RF Liberación Descontrolada de Energías vs 02</t>
  </si>
  <si>
    <t xml:space="preserve">RF-16 Evaluación RF Vaciados de Chimeneas y Piques vs01</t>
  </si>
  <si>
    <t xml:space="preserve">Oleada 2</t>
  </si>
  <si>
    <t xml:space="preserve">Noviembre</t>
  </si>
  <si>
    <t xml:space="preserve">RF-06 Evaluación RF Incendio vs 02</t>
  </si>
  <si>
    <t xml:space="preserve">RF-20 Evaluación RF Sílice vs1</t>
  </si>
  <si>
    <t xml:space="preserve">RF-03 Evaluación RF Maniobras de Izajes vs 02</t>
  </si>
  <si>
    <t xml:space="preserve">Oleada 3</t>
  </si>
  <si>
    <t xml:space="preserve">Diciembre</t>
  </si>
  <si>
    <t xml:space="preserve">RF-27 Evaluación RF Atropello</t>
  </si>
  <si>
    <t xml:space="preserve">RF-01 Evaluación RF Energía Eléctrica vs 03</t>
  </si>
  <si>
    <t xml:space="preserve">2027 T1</t>
  </si>
  <si>
    <t xml:space="preserve">Fuera de este plan</t>
  </si>
  <si>
    <t xml:space="preserve">No</t>
  </si>
  <si>
    <t xml:space="preserve">RF-10 Evaluación RF Vehículos vs 01</t>
  </si>
  <si>
    <t xml:space="preserve">RF-07 Evaluación RF Sustancias Peligrosas vs 03</t>
  </si>
  <si>
    <t xml:space="preserve">RF-30 Evaluación RF Tiro y arrastre vs 0</t>
  </si>
  <si>
    <t xml:space="preserve">RF-22 Evaluación RF Falla de estructuras para tránsito y uso de personas vs1</t>
  </si>
  <si>
    <t xml:space="preserve">RF-25 Evaluación RF Equipos Mineros e Industriales vs1</t>
  </si>
  <si>
    <t xml:space="preserve">RF-31 Evaluación RF Incendio de equipos mineros e industriales</t>
  </si>
  <si>
    <t xml:space="preserve">RF-23 Evaluación RF Colapso Estructural del Macizo Rocoso vs1</t>
  </si>
  <si>
    <t xml:space="preserve">RF-18 Evaluación RF Planchoneo vs01</t>
  </si>
  <si>
    <t xml:space="preserve">R-035 Reglamento de Emergencia Mina Chuquicamata</t>
  </si>
  <si>
    <t xml:space="preserve">Promedio Pista A hoy:</t>
  </si>
  <si>
    <t xml:space="preserve">Promedio Pista A proyectado 31-dic:</t>
  </si>
  <si>
    <t xml:space="preserve">Pista B — Cursos administrativos / plataforma / Maestra de Capacitación</t>
  </si>
  <si>
    <t xml:space="preserve">No dependen de capacidad de instructores; se cierran con seguimiento administrativo (recordatorios, carga a plataforma, sincronización de registros).</t>
  </si>
  <si>
    <t xml:space="preserve">Categoría</t>
  </si>
  <si>
    <t xml:space="preserve">Vía de cierre</t>
  </si>
  <si>
    <t xml:space="preserve">Prioridad</t>
  </si>
  <si>
    <t xml:space="preserve">Carta de Consentimiento Digital</t>
  </si>
  <si>
    <t xml:space="preserve">IRL</t>
  </si>
  <si>
    <t xml:space="preserve">Sincronizar Maestra de Capacitación</t>
  </si>
  <si>
    <t xml:space="preserve">Urgente</t>
  </si>
  <si>
    <t xml:space="preserve">Difusión, entrega y evaluación R-01 Reglamento Interno de Ventilación</t>
  </si>
  <si>
    <t xml:space="preserve">RIM</t>
  </si>
  <si>
    <t xml:space="preserve">Completar en Plataforma nueva</t>
  </si>
  <si>
    <t xml:space="preserve">Reglamento Control de Ingreso de Personas a la Faena</t>
  </si>
  <si>
    <t xml:space="preserve">Seguimiento manual</t>
  </si>
  <si>
    <t xml:space="preserve">Difusión, entrega y evaluación MATRIZ IPER asociada al contrato SK N°4600029025,</t>
  </si>
  <si>
    <t xml:space="preserve">Anexo IRL Junio 2026</t>
  </si>
  <si>
    <t xml:space="preserve">Difusión, entrega y evaluación de Riesgos Laborales y Políticas SSO</t>
  </si>
  <si>
    <t xml:space="preserve">Evaluación Listas de Verificación Legal y MIRLO 2026</t>
  </si>
  <si>
    <t xml:space="preserve">Evaluación (Microsoft Forms / Plataforma)</t>
  </si>
  <si>
    <t xml:space="preserve">Difusión de Cartillas de Evacuación Mina DCH Subterráneo REV. 5</t>
  </si>
  <si>
    <t xml:space="preserve">Media</t>
  </si>
  <si>
    <t xml:space="preserve">Riesgo Crítico N°20: Pérdida de Control de Fuentes de Emisión de Polvo</t>
  </si>
  <si>
    <t xml:space="preserve">Inducción Hombre Nuevo</t>
  </si>
  <si>
    <t xml:space="preserve">Difusión de Riesgos de Incendio SKIC/CODELCO</t>
  </si>
  <si>
    <t xml:space="preserve">Obligaciones de Empresas Contratistas y Subcontratistas RESSO V.9</t>
  </si>
  <si>
    <t xml:space="preserve">Política de Seguridad y Salud Ocupacional SK</t>
  </si>
  <si>
    <t xml:space="preserve">Aplicación Tarjeta Verde (terreno)</t>
  </si>
  <si>
    <t xml:space="preserve">Plan Seguridad Conductual</t>
  </si>
  <si>
    <t xml:space="preserve">Plan de Tránsito GOMCHS</t>
  </si>
  <si>
    <t xml:space="preserve">Procedimientos para Asegurar la Participación de Trabajadores</t>
  </si>
  <si>
    <t xml:space="preserve">Toma de Conocimiento BEL</t>
  </si>
  <si>
    <t xml:space="preserve">Actualización IRL por Especialidad</t>
  </si>
  <si>
    <t xml:space="preserve">Política Corporativa Salud Ocupacional CODELCO</t>
  </si>
  <si>
    <t xml:space="preserve">Difusión, entrega y evaluación de entendimiento del Plan de emergencias SK</t>
  </si>
  <si>
    <t xml:space="preserve">Difusión, entrega y evaluación de entendimiento del INSTRUCTIVO DE USO DE EQUIPO AUTORRESCATADOR (Plan Local de Emergencias SK)</t>
  </si>
  <si>
    <t xml:space="preserve">Difusión, entrega y evaluación Plan local de emergencias DCH 2026</t>
  </si>
  <si>
    <t xml:space="preserve">Difusión, entrega y evaluación de entendimiento Obligaciones, prohibiciones y faltas SK</t>
  </si>
  <si>
    <t xml:space="preserve">IRL por Especialidad (versión antigua)</t>
  </si>
  <si>
    <t xml:space="preserve">PRO-022 Gestión de Residuos Peligrosos y Aceite</t>
  </si>
  <si>
    <t xml:space="preserve">MA</t>
  </si>
  <si>
    <t xml:space="preserve">Segregación, Transporte y Disposición de Residuos</t>
  </si>
  <si>
    <t xml:space="preserve">Mantención</t>
  </si>
  <si>
    <t xml:space="preserve">Acta IRL Medio Ambiente</t>
  </si>
  <si>
    <t xml:space="preserve">Matriz de Aspectos e Impactos Ambientales Rev 00</t>
  </si>
  <si>
    <t xml:space="preserve">PROC-GMA-001 Plan de Gestión Medio Ambiental Rev.01</t>
  </si>
  <si>
    <t xml:space="preserve">Difusión, entrega y evaluación de entendimiento sobre Inducción Ambiental Sistema de Gestión Ambiental SGA - SKIC</t>
  </si>
  <si>
    <t xml:space="preserve">Evaluación Mapas de proceso y Matriz de Identificación de Riesgos</t>
  </si>
  <si>
    <t xml:space="preserve">Estándares de Salud en el Trabajo</t>
  </si>
  <si>
    <t xml:space="preserve">Sustancias Peligrosas DS N°43/2016 (Medio Ambiente)</t>
  </si>
  <si>
    <t xml:space="preserve">Exposición Ocupacional a Metales y Metaloides</t>
  </si>
  <si>
    <t xml:space="preserve">Herramientas Manuales Portátiles y Energizadas</t>
  </si>
  <si>
    <t xml:space="preserve">Protección Auditiva</t>
  </si>
  <si>
    <t xml:space="preserve">Protección Respiratoria</t>
  </si>
  <si>
    <t xml:space="preserve">Prevención de la Silicosis (PLANESI)</t>
  </si>
  <si>
    <t xml:space="preserve">Manejo Manual de Carga (MMC)</t>
  </si>
  <si>
    <t xml:space="preserve">Exposición a Factores de Riesgos Psicosociales</t>
  </si>
  <si>
    <t xml:space="preserve">Exposición a Radiación UV de Origen Solar</t>
  </si>
  <si>
    <t xml:space="preserve">Trastornos Músculo Esqueléticos (TMERT)</t>
  </si>
  <si>
    <t xml:space="preserve">Exposición a Altas Temperaturas</t>
  </si>
  <si>
    <t xml:space="preserve">Prevención de la Hipoacusia (PREXOR)</t>
  </si>
  <si>
    <t xml:space="preserve">Difusión, entrega y evaluación de entendimiento capacitación Uso correcto de los elementos de protección personal</t>
  </si>
  <si>
    <t xml:space="preserve">Difusión, entrega y evaluación de entendimiento R-008 Aislación y bloqueo de energías peligrosas mediante dispositivos de bloqueo y advertencia</t>
  </si>
  <si>
    <t xml:space="preserve">Difusión, entrega y evaluación de entendimiento de las Herramientas de Gestión preventivas ART-TARJETA VERDE- GCQSV</t>
  </si>
  <si>
    <t xml:space="preserve">Difusión Temas IRL</t>
  </si>
  <si>
    <t xml:space="preserve">Información Riesgos Laborales (IRL) D.S N°44</t>
  </si>
  <si>
    <t xml:space="preserve">Promedio Pista B hoy:</t>
  </si>
  <si>
    <t xml:space="preserve">Promedio Pista B proyectado 31-dic:</t>
  </si>
  <si>
    <t xml:space="preserve">Cronograma de sesiones presenciales — Pista A</t>
  </si>
  <si>
    <t xml:space="preserve">2 sesiones/semana (supuesto de capacidad baja) · 3 sesiones cierran un curso a nivel de toda la dotación · marcar 'Realizada' a medida que se ejecutan</t>
  </si>
  <si>
    <t xml:space="preserve">Semana (lunes)</t>
  </si>
  <si>
    <t xml:space="preserve">Sesión</t>
  </si>
  <si>
    <t xml:space="preserve">Grupo de turno</t>
  </si>
  <si>
    <t xml:space="preserve">Personas objetivo</t>
  </si>
  <si>
    <t xml:space="preserve">Realizada (Sí/No)</t>
  </si>
  <si>
    <t xml:space="preserve">Asistentes reales</t>
  </si>
  <si>
    <t xml:space="preserve">Observaciones</t>
  </si>
  <si>
    <t xml:space="preserve">2026-09-21</t>
  </si>
  <si>
    <t xml:space="preserve">Sesión 1</t>
  </si>
  <si>
    <t xml:space="preserve">Grupo A (10X10 A/A-N)</t>
  </si>
  <si>
    <t xml:space="preserve">Sesión 2</t>
  </si>
  <si>
    <t xml:space="preserve">Grupo B (10X10 B/B-N)</t>
  </si>
  <si>
    <t xml:space="preserve">2026-09-28</t>
  </si>
  <si>
    <t xml:space="preserve">Otros turnos (C/D/8X6/4X3/5X2)</t>
  </si>
  <si>
    <t xml:space="preserve">2026-10-05</t>
  </si>
  <si>
    <t xml:space="preserve">2026-10-12</t>
  </si>
  <si>
    <t xml:space="preserve">2026-10-19</t>
  </si>
  <si>
    <t xml:space="preserve">2026-10-26</t>
  </si>
  <si>
    <t xml:space="preserve">2026-11-02</t>
  </si>
  <si>
    <t xml:space="preserve">2026-11-09</t>
  </si>
  <si>
    <t xml:space="preserve">2026-11-16</t>
  </si>
  <si>
    <t xml:space="preserve">2026-11-23</t>
  </si>
  <si>
    <t xml:space="preserve">2026-11-30</t>
  </si>
  <si>
    <t xml:space="preserve">2026-12-07</t>
  </si>
  <si>
    <t xml:space="preserve">Total sesiones programadas: 24 (de 26 disponibles con el supuesto de capacidad — deja margen para reprogramaciones)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</si>
</sst>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C544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C22B2B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B8420F"/>
        <bgColor rgb="FFC22B2B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D9D9"/>
      </patternFill>
    </fill>
    <fill>
      <patternFill patternType="solid">
        <fgColor rgb="FFF4CCCC"/>
        <bgColor rgb="FFD9D9D9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C22B2B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5C5440"/>
      <rgbColor rgb="FF969696"/>
      <rgbColor rgb="FF003366"/>
      <rgbColor rgb="FF339966"/>
      <rgbColor rgb="FF003300"/>
      <rgbColor rgb="FF333300"/>
      <rgbColor rgb="FFB8420F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6"/>
    <col collapsed="false" customWidth="true" hidden="false" outlineLevel="0" max="3" min="3" style="0" width="30"/>
    <col collapsed="false" customWidth="true" hidden="false" outlineLevel="0" max="4" min="4" style="0" width="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</row>
    <row r="6" customFormat="false" ht="15" hidden="false" customHeight="false" outlineLevel="0" collapsed="false">
      <c r="A6" s="5" t="s">
        <v>6</v>
      </c>
      <c r="B6" s="6" t="n">
        <v>2</v>
      </c>
      <c r="C6" s="7" t="s">
        <v>7</v>
      </c>
    </row>
    <row r="7" customFormat="false" ht="15" hidden="false" customHeight="false" outlineLevel="0" collapsed="false">
      <c r="A7" s="5" t="s">
        <v>8</v>
      </c>
      <c r="B7" s="6" t="n">
        <v>3</v>
      </c>
      <c r="C7" s="7" t="s">
        <v>9</v>
      </c>
    </row>
    <row r="8" customFormat="false" ht="15" hidden="false" customHeight="false" outlineLevel="0" collapsed="false">
      <c r="A8" s="5" t="s">
        <v>10</v>
      </c>
      <c r="B8" s="6" t="n">
        <v>13</v>
      </c>
      <c r="C8" s="7" t="s">
        <v>11</v>
      </c>
    </row>
    <row r="9" customFormat="false" ht="15" hidden="false" customHeight="false" outlineLevel="0" collapsed="false">
      <c r="A9" s="5" t="s">
        <v>12</v>
      </c>
      <c r="B9" s="8" t="n">
        <v>0.98</v>
      </c>
      <c r="C9" s="7" t="s">
        <v>13</v>
      </c>
    </row>
    <row r="10" customFormat="false" ht="15" hidden="false" customHeight="false" outlineLevel="0" collapsed="false">
      <c r="A10" s="5" t="s">
        <v>14</v>
      </c>
      <c r="B10" s="8" t="n">
        <v>0.9</v>
      </c>
      <c r="C10" s="7" t="s">
        <v>15</v>
      </c>
    </row>
    <row r="13" customFormat="false" ht="15" hidden="false" customHeight="false" outlineLevel="0" collapsed="false">
      <c r="A13" s="3" t="s">
        <v>16</v>
      </c>
    </row>
    <row r="14" customFormat="false" ht="30" hidden="false" customHeight="true" outlineLevel="0" collapsed="false">
      <c r="A14" s="9" t="s">
        <v>17</v>
      </c>
      <c r="B14" s="9" t="s">
        <v>18</v>
      </c>
      <c r="C14" s="9" t="s">
        <v>19</v>
      </c>
      <c r="D14" s="9" t="s">
        <v>20</v>
      </c>
    </row>
    <row r="15" customFormat="false" ht="15" hidden="false" customHeight="false" outlineLevel="0" collapsed="false">
      <c r="A15" s="5" t="s">
        <v>21</v>
      </c>
      <c r="B15" s="10" t="n">
        <v>0.316166666666667</v>
      </c>
      <c r="C15" s="10" t="n">
        <v>0.64102</v>
      </c>
      <c r="D15" s="10" t="n">
        <f aca="false">(18*B15+50*C15)/68</f>
        <v>0.555029411764706</v>
      </c>
    </row>
    <row r="16" customFormat="false" ht="15" hidden="false" customHeight="false" outlineLevel="0" collapsed="false">
      <c r="A16" s="5" t="s">
        <v>22</v>
      </c>
      <c r="B16" s="11" t="n">
        <f aca="false">$B$15+(0.579-$B$15)*0.25</f>
        <v>0.381875</v>
      </c>
      <c r="C16" s="11" t="n">
        <f aca="false">$C$15+(0.9-$C$15)*0.25</f>
        <v>0.705765</v>
      </c>
      <c r="D16" s="11" t="n">
        <f aca="false">(18*B16+50*C16)/68</f>
        <v>0.620029411764706</v>
      </c>
    </row>
    <row r="17" customFormat="false" ht="15" hidden="false" customHeight="false" outlineLevel="0" collapsed="false">
      <c r="A17" s="5" t="s">
        <v>23</v>
      </c>
      <c r="B17" s="11" t="n">
        <f aca="false">$B$15+(0.579-$B$15)*0.5</f>
        <v>0.447583333333333</v>
      </c>
      <c r="C17" s="11" t="n">
        <f aca="false">$C$15+(0.9-$C$15)*0.5</f>
        <v>0.77051</v>
      </c>
      <c r="D17" s="11" t="n">
        <f aca="false">(18*B17+50*C17)/68</f>
        <v>0.685029411764706</v>
      </c>
    </row>
    <row r="18" customFormat="false" ht="15" hidden="false" customHeight="false" outlineLevel="0" collapsed="false">
      <c r="A18" s="5" t="s">
        <v>24</v>
      </c>
      <c r="B18" s="11" t="n">
        <f aca="false">$B$15+(0.579-$B$15)*0.75</f>
        <v>0.513291666666667</v>
      </c>
      <c r="C18" s="11" t="n">
        <f aca="false">$C$15+(0.9-$C$15)*0.75</f>
        <v>0.835255</v>
      </c>
      <c r="D18" s="11" t="n">
        <f aca="false">(18*B18+50*C18)/68</f>
        <v>0.750029411764706</v>
      </c>
    </row>
    <row r="19" customFormat="false" ht="15" hidden="false" customHeight="false" outlineLevel="0" collapsed="false">
      <c r="A19" s="5" t="s">
        <v>25</v>
      </c>
      <c r="B19" s="10" t="n">
        <v>0.579</v>
      </c>
      <c r="C19" s="10" t="n">
        <v>0.9</v>
      </c>
      <c r="D19" s="10" t="n">
        <f aca="false">(18*B19+50*C19)/68</f>
        <v>0.815029411764706</v>
      </c>
    </row>
    <row r="21" customFormat="false" ht="15" hidden="false" customHeight="false" outlineLevel="0" collapsed="false">
      <c r="A21" s="12" t="s">
        <v>26</v>
      </c>
    </row>
    <row r="22" customFormat="false" ht="15" hidden="false" customHeight="false" outlineLevel="0" collapsed="false">
      <c r="A22" s="2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52"/>
    <col collapsed="false" customWidth="true" hidden="false" outlineLevel="0" max="3" min="3" style="0" width="13"/>
    <col collapsed="false" customWidth="true" hidden="false" outlineLevel="0" max="4" min="4" style="0" width="15"/>
    <col collapsed="false" customWidth="true" hidden="false" outlineLevel="0" max="5" min="5" style="0" width="11"/>
    <col collapsed="false" customWidth="true" hidden="false" outlineLevel="0" max="6" min="6" style="0" width="13"/>
    <col collapsed="false" customWidth="true" hidden="false" outlineLevel="0" max="7" min="7" style="0" width="16"/>
    <col collapsed="false" customWidth="true" hidden="false" outlineLevel="0" max="8" min="8" style="0" width="12"/>
  </cols>
  <sheetData>
    <row r="1" customFormat="false" ht="17.35" hidden="false" customHeight="false" outlineLevel="0" collapsed="false">
      <c r="A1" s="1" t="s">
        <v>28</v>
      </c>
    </row>
    <row r="2" customFormat="false" ht="15" hidden="false" customHeight="false" outlineLevel="0" collapsed="false">
      <c r="A2" s="2" t="s">
        <v>29</v>
      </c>
    </row>
    <row r="4" customFormat="false" ht="25.5" hidden="false" customHeight="true" outlineLevel="0" collapsed="false">
      <c r="A4" s="9" t="s">
        <v>30</v>
      </c>
      <c r="B4" s="9" t="s">
        <v>31</v>
      </c>
      <c r="C4" s="9" t="s">
        <v>32</v>
      </c>
      <c r="D4" s="9" t="s">
        <v>33</v>
      </c>
      <c r="E4" s="9" t="s">
        <v>34</v>
      </c>
      <c r="F4" s="9" t="s">
        <v>35</v>
      </c>
      <c r="G4" s="9" t="s">
        <v>36</v>
      </c>
      <c r="H4" s="9" t="s">
        <v>37</v>
      </c>
    </row>
    <row r="5" customFormat="false" ht="27.75" hidden="false" customHeight="true" outlineLevel="0" collapsed="false">
      <c r="A5" s="5" t="n">
        <v>1</v>
      </c>
      <c r="B5" s="13" t="s">
        <v>38</v>
      </c>
      <c r="C5" s="14" t="n">
        <v>0.397</v>
      </c>
      <c r="D5" s="15" t="n">
        <v>598</v>
      </c>
      <c r="E5" s="5" t="s">
        <v>39</v>
      </c>
      <c r="F5" s="5" t="s">
        <v>40</v>
      </c>
      <c r="G5" s="16" t="s">
        <v>41</v>
      </c>
      <c r="H5" s="17" t="n">
        <f aca="false">IF(G5="Sí",Resumen!$B$9,C5)</f>
        <v>0.98</v>
      </c>
    </row>
    <row r="6" customFormat="false" ht="27.75" hidden="false" customHeight="true" outlineLevel="0" collapsed="false">
      <c r="A6" s="5" t="n">
        <v>2</v>
      </c>
      <c r="B6" s="13" t="s">
        <v>42</v>
      </c>
      <c r="C6" s="14" t="n">
        <v>0.395</v>
      </c>
      <c r="D6" s="15" t="n">
        <v>600</v>
      </c>
      <c r="E6" s="5" t="s">
        <v>39</v>
      </c>
      <c r="F6" s="5" t="s">
        <v>40</v>
      </c>
      <c r="G6" s="16" t="s">
        <v>41</v>
      </c>
      <c r="H6" s="17" t="n">
        <f aca="false">IF(G6="Sí",Resumen!$B$9,C6)</f>
        <v>0.98</v>
      </c>
    </row>
    <row r="7" customFormat="false" ht="27.75" hidden="false" customHeight="true" outlineLevel="0" collapsed="false">
      <c r="A7" s="5" t="n">
        <v>3</v>
      </c>
      <c r="B7" s="13" t="s">
        <v>43</v>
      </c>
      <c r="C7" s="14" t="n">
        <v>0.391</v>
      </c>
      <c r="D7" s="15" t="n">
        <v>604</v>
      </c>
      <c r="E7" s="5" t="s">
        <v>39</v>
      </c>
      <c r="F7" s="5" t="s">
        <v>40</v>
      </c>
      <c r="G7" s="16" t="s">
        <v>41</v>
      </c>
      <c r="H7" s="17" t="n">
        <f aca="false">IF(G7="Sí",Resumen!$B$9,C7)</f>
        <v>0.98</v>
      </c>
    </row>
    <row r="8" customFormat="false" ht="27.75" hidden="false" customHeight="true" outlineLevel="0" collapsed="false">
      <c r="A8" s="5" t="n">
        <v>4</v>
      </c>
      <c r="B8" s="13" t="s">
        <v>44</v>
      </c>
      <c r="C8" s="14" t="n">
        <v>0.386</v>
      </c>
      <c r="D8" s="15" t="n">
        <v>608</v>
      </c>
      <c r="E8" s="5" t="s">
        <v>45</v>
      </c>
      <c r="F8" s="5" t="s">
        <v>46</v>
      </c>
      <c r="G8" s="16" t="s">
        <v>41</v>
      </c>
      <c r="H8" s="17" t="n">
        <f aca="false">IF(G8="Sí",Resumen!$B$9,C8)</f>
        <v>0.98</v>
      </c>
    </row>
    <row r="9" customFormat="false" ht="27.75" hidden="false" customHeight="true" outlineLevel="0" collapsed="false">
      <c r="A9" s="5" t="n">
        <v>5</v>
      </c>
      <c r="B9" s="13" t="s">
        <v>47</v>
      </c>
      <c r="C9" s="14" t="n">
        <v>0.385</v>
      </c>
      <c r="D9" s="15" t="n">
        <v>609</v>
      </c>
      <c r="E9" s="5" t="s">
        <v>45</v>
      </c>
      <c r="F9" s="5" t="s">
        <v>46</v>
      </c>
      <c r="G9" s="16" t="s">
        <v>41</v>
      </c>
      <c r="H9" s="17" t="n">
        <f aca="false">IF(G9="Sí",Resumen!$B$9,C9)</f>
        <v>0.98</v>
      </c>
    </row>
    <row r="10" customFormat="false" ht="27.75" hidden="false" customHeight="true" outlineLevel="0" collapsed="false">
      <c r="A10" s="5" t="n">
        <v>6</v>
      </c>
      <c r="B10" s="13" t="s">
        <v>48</v>
      </c>
      <c r="C10" s="14" t="n">
        <v>0.385</v>
      </c>
      <c r="D10" s="15" t="n">
        <v>609</v>
      </c>
      <c r="E10" s="5" t="s">
        <v>45</v>
      </c>
      <c r="F10" s="5" t="s">
        <v>46</v>
      </c>
      <c r="G10" s="16" t="s">
        <v>41</v>
      </c>
      <c r="H10" s="17" t="n">
        <f aca="false">IF(G10="Sí",Resumen!$B$9,C10)</f>
        <v>0.98</v>
      </c>
    </row>
    <row r="11" customFormat="false" ht="27.75" hidden="false" customHeight="true" outlineLevel="0" collapsed="false">
      <c r="A11" s="5" t="n">
        <v>7</v>
      </c>
      <c r="B11" s="13" t="s">
        <v>49</v>
      </c>
      <c r="C11" s="14" t="n">
        <v>0.384</v>
      </c>
      <c r="D11" s="15" t="n">
        <v>610</v>
      </c>
      <c r="E11" s="5" t="s">
        <v>50</v>
      </c>
      <c r="F11" s="5" t="s">
        <v>51</v>
      </c>
      <c r="G11" s="16" t="s">
        <v>41</v>
      </c>
      <c r="H11" s="17" t="n">
        <f aca="false">IF(G11="Sí",Resumen!$B$9,C11)</f>
        <v>0.98</v>
      </c>
    </row>
    <row r="12" customFormat="false" ht="27.75" hidden="false" customHeight="true" outlineLevel="0" collapsed="false">
      <c r="A12" s="5" t="n">
        <v>8</v>
      </c>
      <c r="B12" s="13" t="s">
        <v>52</v>
      </c>
      <c r="C12" s="14" t="n">
        <v>0.384</v>
      </c>
      <c r="D12" s="15" t="n">
        <v>610</v>
      </c>
      <c r="E12" s="5" t="s">
        <v>50</v>
      </c>
      <c r="F12" s="5" t="s">
        <v>51</v>
      </c>
      <c r="G12" s="16" t="s">
        <v>41</v>
      </c>
      <c r="H12" s="17" t="n">
        <f aca="false">IF(G12="Sí",Resumen!$B$9,C12)</f>
        <v>0.98</v>
      </c>
    </row>
    <row r="13" customFormat="false" ht="27.75" hidden="false" customHeight="true" outlineLevel="0" collapsed="false">
      <c r="A13" s="5" t="n">
        <v>9</v>
      </c>
      <c r="B13" s="13" t="s">
        <v>53</v>
      </c>
      <c r="C13" s="14" t="n">
        <v>0.384</v>
      </c>
      <c r="D13" s="15" t="n">
        <v>610</v>
      </c>
      <c r="E13" s="5" t="s">
        <v>54</v>
      </c>
      <c r="F13" s="5" t="s">
        <v>55</v>
      </c>
      <c r="G13" s="18" t="s">
        <v>56</v>
      </c>
      <c r="H13" s="19" t="n">
        <f aca="false">IF(G13="Sí",Resumen!$B$9,C13)</f>
        <v>0.384</v>
      </c>
    </row>
    <row r="14" customFormat="false" ht="27.75" hidden="false" customHeight="true" outlineLevel="0" collapsed="false">
      <c r="A14" s="5" t="n">
        <v>10</v>
      </c>
      <c r="B14" s="13" t="s">
        <v>57</v>
      </c>
      <c r="C14" s="14" t="n">
        <v>0.384</v>
      </c>
      <c r="D14" s="15" t="n">
        <v>610</v>
      </c>
      <c r="E14" s="5" t="s">
        <v>54</v>
      </c>
      <c r="F14" s="5" t="s">
        <v>55</v>
      </c>
      <c r="G14" s="18" t="s">
        <v>56</v>
      </c>
      <c r="H14" s="19" t="n">
        <f aca="false">IF(G14="Sí",Resumen!$B$9,C14)</f>
        <v>0.384</v>
      </c>
    </row>
    <row r="15" customFormat="false" ht="27.75" hidden="false" customHeight="true" outlineLevel="0" collapsed="false">
      <c r="A15" s="5" t="n">
        <v>11</v>
      </c>
      <c r="B15" s="13" t="s">
        <v>58</v>
      </c>
      <c r="C15" s="14" t="n">
        <v>0.383</v>
      </c>
      <c r="D15" s="15" t="n">
        <v>611</v>
      </c>
      <c r="E15" s="5" t="s">
        <v>54</v>
      </c>
      <c r="F15" s="5" t="s">
        <v>55</v>
      </c>
      <c r="G15" s="18" t="s">
        <v>56</v>
      </c>
      <c r="H15" s="19" t="n">
        <f aca="false">IF(G15="Sí",Resumen!$B$9,C15)</f>
        <v>0.383</v>
      </c>
    </row>
    <row r="16" customFormat="false" ht="27.75" hidden="false" customHeight="true" outlineLevel="0" collapsed="false">
      <c r="A16" s="5" t="n">
        <v>12</v>
      </c>
      <c r="B16" s="13" t="s">
        <v>59</v>
      </c>
      <c r="C16" s="14" t="n">
        <v>0.378</v>
      </c>
      <c r="D16" s="15" t="n">
        <v>616</v>
      </c>
      <c r="E16" s="5" t="s">
        <v>54</v>
      </c>
      <c r="F16" s="5" t="s">
        <v>55</v>
      </c>
      <c r="G16" s="18" t="s">
        <v>56</v>
      </c>
      <c r="H16" s="19" t="n">
        <f aca="false">IF(G16="Sí",Resumen!$B$9,C16)</f>
        <v>0.378</v>
      </c>
    </row>
    <row r="17" customFormat="false" ht="27.75" hidden="false" customHeight="true" outlineLevel="0" collapsed="false">
      <c r="A17" s="5" t="n">
        <v>13</v>
      </c>
      <c r="B17" s="13" t="s">
        <v>60</v>
      </c>
      <c r="C17" s="14" t="n">
        <v>0.192</v>
      </c>
      <c r="D17" s="15" t="n">
        <v>801</v>
      </c>
      <c r="E17" s="5" t="s">
        <v>54</v>
      </c>
      <c r="F17" s="5" t="s">
        <v>55</v>
      </c>
      <c r="G17" s="18" t="s">
        <v>56</v>
      </c>
      <c r="H17" s="19" t="n">
        <f aca="false">IF(G17="Sí",Resumen!$B$9,C17)</f>
        <v>0.192</v>
      </c>
    </row>
    <row r="18" customFormat="false" ht="27.75" hidden="false" customHeight="true" outlineLevel="0" collapsed="false">
      <c r="A18" s="5" t="n">
        <v>14</v>
      </c>
      <c r="B18" s="13" t="s">
        <v>61</v>
      </c>
      <c r="C18" s="14" t="n">
        <v>0.191</v>
      </c>
      <c r="D18" s="15" t="n">
        <v>802</v>
      </c>
      <c r="E18" s="5" t="s">
        <v>54</v>
      </c>
      <c r="F18" s="5" t="s">
        <v>55</v>
      </c>
      <c r="G18" s="18" t="s">
        <v>56</v>
      </c>
      <c r="H18" s="19" t="n">
        <f aca="false">IF(G18="Sí",Resumen!$B$9,C18)</f>
        <v>0.191</v>
      </c>
    </row>
    <row r="19" customFormat="false" ht="27.75" hidden="false" customHeight="true" outlineLevel="0" collapsed="false">
      <c r="A19" s="5" t="n">
        <v>15</v>
      </c>
      <c r="B19" s="13" t="s">
        <v>62</v>
      </c>
      <c r="C19" s="14" t="n">
        <v>0.19</v>
      </c>
      <c r="D19" s="15" t="n">
        <v>803</v>
      </c>
      <c r="E19" s="5" t="s">
        <v>54</v>
      </c>
      <c r="F19" s="5" t="s">
        <v>55</v>
      </c>
      <c r="G19" s="18" t="s">
        <v>56</v>
      </c>
      <c r="H19" s="19" t="n">
        <f aca="false">IF(G19="Sí",Resumen!$B$9,C19)</f>
        <v>0.19</v>
      </c>
    </row>
    <row r="20" customFormat="false" ht="27.75" hidden="false" customHeight="true" outlineLevel="0" collapsed="false">
      <c r="A20" s="5" t="n">
        <v>16</v>
      </c>
      <c r="B20" s="13" t="s">
        <v>63</v>
      </c>
      <c r="C20" s="14" t="n">
        <v>0.19</v>
      </c>
      <c r="D20" s="15" t="n">
        <v>803</v>
      </c>
      <c r="E20" s="5" t="s">
        <v>54</v>
      </c>
      <c r="F20" s="5" t="s">
        <v>55</v>
      </c>
      <c r="G20" s="18" t="s">
        <v>56</v>
      </c>
      <c r="H20" s="19" t="n">
        <f aca="false">IF(G20="Sí",Resumen!$B$9,C20)</f>
        <v>0.19</v>
      </c>
    </row>
    <row r="21" customFormat="false" ht="27.75" hidden="false" customHeight="true" outlineLevel="0" collapsed="false">
      <c r="A21" s="5" t="n">
        <v>17</v>
      </c>
      <c r="B21" s="13" t="s">
        <v>64</v>
      </c>
      <c r="C21" s="14" t="n">
        <v>0.188</v>
      </c>
      <c r="D21" s="15" t="n">
        <v>805</v>
      </c>
      <c r="E21" s="5" t="s">
        <v>54</v>
      </c>
      <c r="F21" s="5" t="s">
        <v>55</v>
      </c>
      <c r="G21" s="18" t="s">
        <v>56</v>
      </c>
      <c r="H21" s="19" t="n">
        <f aca="false">IF(G21="Sí",Resumen!$B$9,C21)</f>
        <v>0.188</v>
      </c>
    </row>
    <row r="22" customFormat="false" ht="27.75" hidden="false" customHeight="true" outlineLevel="0" collapsed="false">
      <c r="A22" s="5" t="n">
        <v>18</v>
      </c>
      <c r="B22" s="13" t="s">
        <v>65</v>
      </c>
      <c r="C22" s="14" t="n">
        <v>0.104</v>
      </c>
      <c r="D22" s="15" t="n">
        <v>888</v>
      </c>
      <c r="E22" s="5" t="s">
        <v>54</v>
      </c>
      <c r="F22" s="5" t="s">
        <v>55</v>
      </c>
      <c r="G22" s="18" t="s">
        <v>56</v>
      </c>
      <c r="H22" s="19" t="n">
        <f aca="false">IF(G22="Sí",Resumen!$B$9,C22)</f>
        <v>0.104</v>
      </c>
    </row>
    <row r="24" customFormat="false" ht="15" hidden="false" customHeight="false" outlineLevel="0" collapsed="false">
      <c r="A24" s="3" t="s">
        <v>66</v>
      </c>
      <c r="C24" s="20" t="n">
        <f aca="false">AVERAGE(C5:C22)</f>
        <v>0.316166666666667</v>
      </c>
    </row>
    <row r="25" customFormat="false" ht="15" hidden="false" customHeight="false" outlineLevel="0" collapsed="false">
      <c r="A25" s="3" t="s">
        <v>67</v>
      </c>
      <c r="C25" s="20" t="n">
        <f aca="false">AVERAGE(H5:H22)</f>
        <v>0.579111111111111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52"/>
    <col collapsed="false" customWidth="true" hidden="false" outlineLevel="0" max="3" min="3" style="0" width="8"/>
    <col collapsed="false" customWidth="true" hidden="false" outlineLevel="0" max="4" min="4" style="0" width="30"/>
    <col collapsed="false" customWidth="true" hidden="false" outlineLevel="0" max="5" min="5" style="0" width="13"/>
    <col collapsed="false" customWidth="true" hidden="false" outlineLevel="0" max="6" min="6" style="0" width="15"/>
    <col collapsed="false" customWidth="true" hidden="false" outlineLevel="0" max="8" min="7" style="0" width="12"/>
  </cols>
  <sheetData>
    <row r="1" customFormat="false" ht="17.35" hidden="false" customHeight="false" outlineLevel="0" collapsed="false">
      <c r="A1" s="1" t="s">
        <v>68</v>
      </c>
    </row>
    <row r="2" customFormat="false" ht="15" hidden="false" customHeight="false" outlineLevel="0" collapsed="false">
      <c r="A2" s="2" t="s">
        <v>69</v>
      </c>
    </row>
    <row r="4" customFormat="false" ht="25.5" hidden="false" customHeight="true" outlineLevel="0" collapsed="false">
      <c r="A4" s="9" t="s">
        <v>30</v>
      </c>
      <c r="B4" s="9" t="s">
        <v>31</v>
      </c>
      <c r="C4" s="9" t="s">
        <v>70</v>
      </c>
      <c r="D4" s="9" t="s">
        <v>71</v>
      </c>
      <c r="E4" s="9" t="s">
        <v>32</v>
      </c>
      <c r="F4" s="9" t="s">
        <v>33</v>
      </c>
      <c r="G4" s="9" t="s">
        <v>72</v>
      </c>
      <c r="H4" s="9" t="s">
        <v>37</v>
      </c>
    </row>
    <row r="5" customFormat="false" ht="25.5" hidden="false" customHeight="true" outlineLevel="0" collapsed="false">
      <c r="A5" s="5" t="n">
        <v>1</v>
      </c>
      <c r="B5" s="13" t="s">
        <v>73</v>
      </c>
      <c r="C5" s="5" t="s">
        <v>74</v>
      </c>
      <c r="D5" s="5" t="s">
        <v>75</v>
      </c>
      <c r="E5" s="14" t="n">
        <v>0.094</v>
      </c>
      <c r="F5" s="15" t="n">
        <v>898</v>
      </c>
      <c r="G5" s="18" t="s">
        <v>76</v>
      </c>
      <c r="H5" s="21" t="n">
        <f aca="false">MAX(E5,Resumen!$B$10)</f>
        <v>0.9</v>
      </c>
    </row>
    <row r="6" customFormat="false" ht="25.5" hidden="false" customHeight="true" outlineLevel="0" collapsed="false">
      <c r="A6" s="5" t="n">
        <v>2</v>
      </c>
      <c r="B6" s="13" t="s">
        <v>77</v>
      </c>
      <c r="C6" s="5" t="s">
        <v>78</v>
      </c>
      <c r="D6" s="5" t="s">
        <v>79</v>
      </c>
      <c r="E6" s="14" t="n">
        <v>0.104</v>
      </c>
      <c r="F6" s="15" t="n">
        <v>888</v>
      </c>
      <c r="G6" s="18" t="s">
        <v>76</v>
      </c>
      <c r="H6" s="21" t="n">
        <f aca="false">MAX(E6,Resumen!$B$10)</f>
        <v>0.9</v>
      </c>
    </row>
    <row r="7" customFormat="false" ht="25.5" hidden="false" customHeight="true" outlineLevel="0" collapsed="false">
      <c r="A7" s="5" t="n">
        <v>3</v>
      </c>
      <c r="B7" s="13" t="s">
        <v>80</v>
      </c>
      <c r="C7" s="5" t="s">
        <v>78</v>
      </c>
      <c r="D7" s="5" t="s">
        <v>81</v>
      </c>
      <c r="E7" s="14" t="n">
        <v>0.107</v>
      </c>
      <c r="F7" s="15" t="n">
        <v>885</v>
      </c>
      <c r="G7" s="18" t="s">
        <v>76</v>
      </c>
      <c r="H7" s="21" t="n">
        <f aca="false">MAX(E7,Resumen!$B$10)</f>
        <v>0.9</v>
      </c>
    </row>
    <row r="8" customFormat="false" ht="25.5" hidden="false" customHeight="true" outlineLevel="0" collapsed="false">
      <c r="A8" s="5" t="n">
        <v>4</v>
      </c>
      <c r="B8" s="13" t="s">
        <v>82</v>
      </c>
      <c r="C8" s="5" t="s">
        <v>74</v>
      </c>
      <c r="D8" s="5" t="s">
        <v>79</v>
      </c>
      <c r="E8" s="14" t="n">
        <v>0.111</v>
      </c>
      <c r="F8" s="15" t="n">
        <v>881</v>
      </c>
      <c r="G8" s="18" t="s">
        <v>76</v>
      </c>
      <c r="H8" s="21" t="n">
        <f aca="false">MAX(E8,Resumen!$B$10)</f>
        <v>0.9</v>
      </c>
    </row>
    <row r="9" customFormat="false" ht="25.5" hidden="false" customHeight="true" outlineLevel="0" collapsed="false">
      <c r="A9" s="5" t="n">
        <v>5</v>
      </c>
      <c r="B9" s="13" t="s">
        <v>83</v>
      </c>
      <c r="C9" s="5" t="s">
        <v>74</v>
      </c>
      <c r="D9" s="5" t="s">
        <v>75</v>
      </c>
      <c r="E9" s="14" t="n">
        <v>0.117</v>
      </c>
      <c r="F9" s="15" t="n">
        <v>875</v>
      </c>
      <c r="G9" s="18" t="s">
        <v>76</v>
      </c>
      <c r="H9" s="21" t="n">
        <f aca="false">MAX(E9,Resumen!$B$10)</f>
        <v>0.9</v>
      </c>
    </row>
    <row r="10" customFormat="false" ht="25.5" hidden="false" customHeight="true" outlineLevel="0" collapsed="false">
      <c r="A10" s="5" t="n">
        <v>6</v>
      </c>
      <c r="B10" s="13" t="s">
        <v>84</v>
      </c>
      <c r="C10" s="5" t="s">
        <v>74</v>
      </c>
      <c r="D10" s="5" t="s">
        <v>79</v>
      </c>
      <c r="E10" s="14" t="n">
        <v>0.136</v>
      </c>
      <c r="F10" s="15" t="n">
        <v>856</v>
      </c>
      <c r="G10" s="18" t="s">
        <v>76</v>
      </c>
      <c r="H10" s="21" t="n">
        <f aca="false">MAX(E10,Resumen!$B$10)</f>
        <v>0.9</v>
      </c>
    </row>
    <row r="11" customFormat="false" ht="25.5" hidden="false" customHeight="true" outlineLevel="0" collapsed="false">
      <c r="A11" s="5" t="n">
        <v>7</v>
      </c>
      <c r="B11" s="13" t="s">
        <v>85</v>
      </c>
      <c r="C11" s="5" t="s">
        <v>74</v>
      </c>
      <c r="D11" s="5" t="s">
        <v>86</v>
      </c>
      <c r="E11" s="14" t="n">
        <v>0.144</v>
      </c>
      <c r="F11" s="15" t="n">
        <v>848</v>
      </c>
      <c r="G11" s="18" t="s">
        <v>76</v>
      </c>
      <c r="H11" s="21" t="n">
        <f aca="false">MAX(E11,Resumen!$B$10)</f>
        <v>0.9</v>
      </c>
    </row>
    <row r="12" customFormat="false" ht="25.5" hidden="false" customHeight="true" outlineLevel="0" collapsed="false">
      <c r="A12" s="5" t="n">
        <v>8</v>
      </c>
      <c r="B12" s="13" t="s">
        <v>87</v>
      </c>
      <c r="C12" s="5" t="s">
        <v>74</v>
      </c>
      <c r="D12" s="5" t="s">
        <v>86</v>
      </c>
      <c r="E12" s="14" t="n">
        <v>0.263</v>
      </c>
      <c r="F12" s="15" t="n">
        <v>733</v>
      </c>
      <c r="G12" s="22" t="s">
        <v>88</v>
      </c>
      <c r="H12" s="21" t="n">
        <f aca="false">MAX(E12,Resumen!$B$10)</f>
        <v>0.9</v>
      </c>
    </row>
    <row r="13" customFormat="false" ht="25.5" hidden="false" customHeight="true" outlineLevel="0" collapsed="false">
      <c r="A13" s="5" t="n">
        <v>9</v>
      </c>
      <c r="B13" s="13" t="s">
        <v>89</v>
      </c>
      <c r="C13" s="5" t="s">
        <v>74</v>
      </c>
      <c r="D13" s="5" t="s">
        <v>75</v>
      </c>
      <c r="E13" s="14" t="n">
        <v>0.316</v>
      </c>
      <c r="F13" s="15" t="n">
        <v>678</v>
      </c>
      <c r="G13" s="22" t="s">
        <v>88</v>
      </c>
      <c r="H13" s="21" t="n">
        <f aca="false">MAX(E13,Resumen!$B$10)</f>
        <v>0.9</v>
      </c>
    </row>
    <row r="14" customFormat="false" ht="25.5" hidden="false" customHeight="true" outlineLevel="0" collapsed="false">
      <c r="A14" s="5" t="n">
        <v>10</v>
      </c>
      <c r="B14" s="13" t="s">
        <v>90</v>
      </c>
      <c r="C14" s="5" t="s">
        <v>74</v>
      </c>
      <c r="D14" s="5" t="s">
        <v>75</v>
      </c>
      <c r="E14" s="14" t="n">
        <v>0.374</v>
      </c>
      <c r="F14" s="15" t="n">
        <v>620</v>
      </c>
      <c r="G14" s="22" t="s">
        <v>88</v>
      </c>
      <c r="H14" s="21" t="n">
        <f aca="false">MAX(E14,Resumen!$B$10)</f>
        <v>0.9</v>
      </c>
    </row>
    <row r="15" customFormat="false" ht="25.5" hidden="false" customHeight="true" outlineLevel="0" collapsed="false">
      <c r="A15" s="5" t="n">
        <v>11</v>
      </c>
      <c r="B15" s="13" t="s">
        <v>91</v>
      </c>
      <c r="C15" s="5" t="s">
        <v>74</v>
      </c>
      <c r="D15" s="5" t="s">
        <v>75</v>
      </c>
      <c r="E15" s="14" t="n">
        <v>0.392</v>
      </c>
      <c r="F15" s="15" t="n">
        <v>603</v>
      </c>
      <c r="G15" s="22" t="s">
        <v>88</v>
      </c>
      <c r="H15" s="21" t="n">
        <f aca="false">MAX(E15,Resumen!$B$10)</f>
        <v>0.9</v>
      </c>
    </row>
    <row r="16" customFormat="false" ht="25.5" hidden="false" customHeight="true" outlineLevel="0" collapsed="false">
      <c r="A16" s="5" t="n">
        <v>12</v>
      </c>
      <c r="B16" s="13" t="s">
        <v>92</v>
      </c>
      <c r="C16" s="5" t="s">
        <v>74</v>
      </c>
      <c r="D16" s="5" t="s">
        <v>75</v>
      </c>
      <c r="E16" s="14" t="n">
        <v>0.392</v>
      </c>
      <c r="F16" s="15" t="n">
        <v>603</v>
      </c>
      <c r="G16" s="22" t="s">
        <v>88</v>
      </c>
      <c r="H16" s="21" t="n">
        <f aca="false">MAX(E16,Resumen!$B$10)</f>
        <v>0.9</v>
      </c>
    </row>
    <row r="17" customFormat="false" ht="25.5" hidden="false" customHeight="true" outlineLevel="0" collapsed="false">
      <c r="A17" s="5" t="n">
        <v>13</v>
      </c>
      <c r="B17" s="13" t="s">
        <v>93</v>
      </c>
      <c r="C17" s="5" t="s">
        <v>74</v>
      </c>
      <c r="D17" s="5" t="s">
        <v>75</v>
      </c>
      <c r="E17" s="14" t="n">
        <v>0.392</v>
      </c>
      <c r="F17" s="15" t="n">
        <v>603</v>
      </c>
      <c r="G17" s="22" t="s">
        <v>88</v>
      </c>
      <c r="H17" s="21" t="n">
        <f aca="false">MAX(E17,Resumen!$B$10)</f>
        <v>0.9</v>
      </c>
    </row>
    <row r="18" customFormat="false" ht="25.5" hidden="false" customHeight="true" outlineLevel="0" collapsed="false">
      <c r="A18" s="5" t="n">
        <v>14</v>
      </c>
      <c r="B18" s="13" t="s">
        <v>94</v>
      </c>
      <c r="C18" s="5" t="s">
        <v>74</v>
      </c>
      <c r="D18" s="5" t="s">
        <v>75</v>
      </c>
      <c r="E18" s="14" t="n">
        <v>0.393</v>
      </c>
      <c r="F18" s="15" t="n">
        <v>602</v>
      </c>
      <c r="G18" s="22" t="s">
        <v>88</v>
      </c>
      <c r="H18" s="21" t="n">
        <f aca="false">MAX(E18,Resumen!$B$10)</f>
        <v>0.9</v>
      </c>
    </row>
    <row r="19" customFormat="false" ht="25.5" hidden="false" customHeight="true" outlineLevel="0" collapsed="false">
      <c r="A19" s="5" t="n">
        <v>15</v>
      </c>
      <c r="B19" s="13" t="s">
        <v>95</v>
      </c>
      <c r="C19" s="5" t="s">
        <v>74</v>
      </c>
      <c r="D19" s="5" t="s">
        <v>75</v>
      </c>
      <c r="E19" s="14" t="n">
        <v>0.393</v>
      </c>
      <c r="F19" s="15" t="n">
        <v>602</v>
      </c>
      <c r="G19" s="22" t="s">
        <v>88</v>
      </c>
      <c r="H19" s="21" t="n">
        <f aca="false">MAX(E19,Resumen!$B$10)</f>
        <v>0.9</v>
      </c>
    </row>
    <row r="20" customFormat="false" ht="25.5" hidden="false" customHeight="true" outlineLevel="0" collapsed="false">
      <c r="A20" s="5" t="n">
        <v>16</v>
      </c>
      <c r="B20" s="13" t="s">
        <v>96</v>
      </c>
      <c r="C20" s="5" t="s">
        <v>74</v>
      </c>
      <c r="D20" s="5" t="s">
        <v>75</v>
      </c>
      <c r="E20" s="14" t="n">
        <v>0.393</v>
      </c>
      <c r="F20" s="15" t="n">
        <v>602</v>
      </c>
      <c r="G20" s="22" t="s">
        <v>88</v>
      </c>
      <c r="H20" s="21" t="n">
        <f aca="false">MAX(E20,Resumen!$B$10)</f>
        <v>0.9</v>
      </c>
    </row>
    <row r="21" customFormat="false" ht="25.5" hidden="false" customHeight="true" outlineLevel="0" collapsed="false">
      <c r="A21" s="5" t="n">
        <v>17</v>
      </c>
      <c r="B21" s="13" t="s">
        <v>97</v>
      </c>
      <c r="C21" s="5" t="s">
        <v>74</v>
      </c>
      <c r="D21" s="5" t="s">
        <v>75</v>
      </c>
      <c r="E21" s="14" t="n">
        <v>0.41</v>
      </c>
      <c r="F21" s="15" t="n">
        <v>585</v>
      </c>
      <c r="G21" s="22" t="s">
        <v>88</v>
      </c>
      <c r="H21" s="21" t="n">
        <f aca="false">MAX(E21,Resumen!$B$10)</f>
        <v>0.9</v>
      </c>
    </row>
    <row r="22" customFormat="false" ht="25.5" hidden="false" customHeight="true" outlineLevel="0" collapsed="false">
      <c r="A22" s="5" t="n">
        <v>18</v>
      </c>
      <c r="B22" s="13" t="s">
        <v>98</v>
      </c>
      <c r="C22" s="5" t="s">
        <v>74</v>
      </c>
      <c r="D22" s="5" t="s">
        <v>75</v>
      </c>
      <c r="E22" s="14" t="n">
        <v>0.439</v>
      </c>
      <c r="F22" s="15" t="n">
        <v>556</v>
      </c>
      <c r="G22" s="22" t="s">
        <v>88</v>
      </c>
      <c r="H22" s="21" t="n">
        <f aca="false">MAX(E22,Resumen!$B$10)</f>
        <v>0.9</v>
      </c>
    </row>
    <row r="23" customFormat="false" ht="25.5" hidden="false" customHeight="true" outlineLevel="0" collapsed="false">
      <c r="A23" s="5" t="n">
        <v>19</v>
      </c>
      <c r="B23" s="13" t="s">
        <v>99</v>
      </c>
      <c r="C23" s="5" t="s">
        <v>74</v>
      </c>
      <c r="D23" s="5" t="s">
        <v>75</v>
      </c>
      <c r="E23" s="14" t="n">
        <v>0.609</v>
      </c>
      <c r="F23" s="15" t="n">
        <v>387</v>
      </c>
      <c r="G23" s="22" t="s">
        <v>88</v>
      </c>
      <c r="H23" s="21" t="n">
        <f aca="false">MAX(E23,Resumen!$B$10)</f>
        <v>0.9</v>
      </c>
    </row>
    <row r="24" customFormat="false" ht="25.5" hidden="false" customHeight="true" outlineLevel="0" collapsed="false">
      <c r="A24" s="5" t="n">
        <v>20</v>
      </c>
      <c r="B24" s="13" t="s">
        <v>100</v>
      </c>
      <c r="C24" s="5" t="s">
        <v>74</v>
      </c>
      <c r="D24" s="5" t="s">
        <v>75</v>
      </c>
      <c r="E24" s="14" t="n">
        <v>0.678</v>
      </c>
      <c r="F24" s="15" t="n">
        <v>319</v>
      </c>
      <c r="G24" s="22" t="s">
        <v>88</v>
      </c>
      <c r="H24" s="21" t="n">
        <f aca="false">MAX(E24,Resumen!$B$10)</f>
        <v>0.9</v>
      </c>
    </row>
    <row r="25" customFormat="false" ht="25.5" hidden="false" customHeight="true" outlineLevel="0" collapsed="false">
      <c r="A25" s="5" t="n">
        <v>21</v>
      </c>
      <c r="B25" s="13" t="s">
        <v>101</v>
      </c>
      <c r="C25" s="5" t="s">
        <v>74</v>
      </c>
      <c r="D25" s="5" t="s">
        <v>79</v>
      </c>
      <c r="E25" s="14" t="n">
        <v>0.678</v>
      </c>
      <c r="F25" s="15" t="n">
        <v>319</v>
      </c>
      <c r="G25" s="22" t="s">
        <v>88</v>
      </c>
      <c r="H25" s="21" t="n">
        <f aca="false">MAX(E25,Resumen!$B$10)</f>
        <v>0.9</v>
      </c>
    </row>
    <row r="26" customFormat="false" ht="25.5" hidden="false" customHeight="true" outlineLevel="0" collapsed="false">
      <c r="A26" s="5" t="n">
        <v>22</v>
      </c>
      <c r="B26" s="13" t="s">
        <v>102</v>
      </c>
      <c r="C26" s="5" t="s">
        <v>74</v>
      </c>
      <c r="D26" s="5" t="s">
        <v>79</v>
      </c>
      <c r="E26" s="14" t="n">
        <v>0.679</v>
      </c>
      <c r="F26" s="15" t="n">
        <v>318</v>
      </c>
      <c r="G26" s="22" t="s">
        <v>88</v>
      </c>
      <c r="H26" s="21" t="n">
        <f aca="false">MAX(E26,Resumen!$B$10)</f>
        <v>0.9</v>
      </c>
    </row>
    <row r="27" customFormat="false" ht="25.5" hidden="false" customHeight="true" outlineLevel="0" collapsed="false">
      <c r="A27" s="5" t="n">
        <v>23</v>
      </c>
      <c r="B27" s="13" t="s">
        <v>103</v>
      </c>
      <c r="C27" s="5" t="s">
        <v>74</v>
      </c>
      <c r="D27" s="5" t="s">
        <v>79</v>
      </c>
      <c r="E27" s="14" t="n">
        <v>0.679</v>
      </c>
      <c r="F27" s="15" t="n">
        <v>318</v>
      </c>
      <c r="G27" s="22" t="s">
        <v>88</v>
      </c>
      <c r="H27" s="21" t="n">
        <f aca="false">MAX(E27,Resumen!$B$10)</f>
        <v>0.9</v>
      </c>
    </row>
    <row r="28" customFormat="false" ht="25.5" hidden="false" customHeight="true" outlineLevel="0" collapsed="false">
      <c r="A28" s="5" t="n">
        <v>24</v>
      </c>
      <c r="B28" s="13" t="s">
        <v>104</v>
      </c>
      <c r="C28" s="5" t="s">
        <v>74</v>
      </c>
      <c r="D28" s="5" t="s">
        <v>79</v>
      </c>
      <c r="E28" s="14" t="n">
        <v>0.683</v>
      </c>
      <c r="F28" s="15" t="n">
        <v>314</v>
      </c>
      <c r="G28" s="22" t="s">
        <v>88</v>
      </c>
      <c r="H28" s="21" t="n">
        <f aca="false">MAX(E28,Resumen!$B$10)</f>
        <v>0.9</v>
      </c>
    </row>
    <row r="29" customFormat="false" ht="25.5" hidden="false" customHeight="true" outlineLevel="0" collapsed="false">
      <c r="A29" s="5" t="n">
        <v>25</v>
      </c>
      <c r="B29" s="13" t="s">
        <v>105</v>
      </c>
      <c r="C29" s="5" t="s">
        <v>74</v>
      </c>
      <c r="D29" s="5" t="s">
        <v>75</v>
      </c>
      <c r="E29" s="14" t="n">
        <v>0.726</v>
      </c>
      <c r="F29" s="15" t="n">
        <v>272</v>
      </c>
      <c r="G29" s="22" t="s">
        <v>88</v>
      </c>
      <c r="H29" s="21" t="n">
        <f aca="false">MAX(E29,Resumen!$B$10)</f>
        <v>0.9</v>
      </c>
    </row>
    <row r="30" customFormat="false" ht="25.5" hidden="false" customHeight="true" outlineLevel="0" collapsed="false">
      <c r="A30" s="5" t="n">
        <v>26</v>
      </c>
      <c r="B30" s="13" t="s">
        <v>106</v>
      </c>
      <c r="C30" s="5" t="s">
        <v>107</v>
      </c>
      <c r="D30" s="5" t="s">
        <v>75</v>
      </c>
      <c r="E30" s="14" t="n">
        <v>0.772</v>
      </c>
      <c r="F30" s="15" t="n">
        <v>226</v>
      </c>
      <c r="G30" s="22" t="s">
        <v>88</v>
      </c>
      <c r="H30" s="21" t="n">
        <f aca="false">MAX(E30,Resumen!$B$10)</f>
        <v>0.9</v>
      </c>
    </row>
    <row r="31" customFormat="false" ht="25.5" hidden="false" customHeight="true" outlineLevel="0" collapsed="false">
      <c r="A31" s="5" t="n">
        <v>27</v>
      </c>
      <c r="B31" s="13" t="s">
        <v>108</v>
      </c>
      <c r="C31" s="5" t="s">
        <v>107</v>
      </c>
      <c r="D31" s="5" t="s">
        <v>75</v>
      </c>
      <c r="E31" s="14" t="n">
        <v>0.802</v>
      </c>
      <c r="F31" s="15" t="n">
        <v>196</v>
      </c>
      <c r="G31" s="16" t="s">
        <v>109</v>
      </c>
      <c r="H31" s="21" t="n">
        <f aca="false">MAX(E31,Resumen!$B$10)</f>
        <v>0.9</v>
      </c>
    </row>
    <row r="32" customFormat="false" ht="25.5" hidden="false" customHeight="true" outlineLevel="0" collapsed="false">
      <c r="A32" s="5" t="n">
        <v>28</v>
      </c>
      <c r="B32" s="13" t="s">
        <v>110</v>
      </c>
      <c r="C32" s="5" t="s">
        <v>107</v>
      </c>
      <c r="D32" s="5" t="s">
        <v>75</v>
      </c>
      <c r="E32" s="14" t="n">
        <v>0.818</v>
      </c>
      <c r="F32" s="15" t="n">
        <v>180</v>
      </c>
      <c r="G32" s="16" t="s">
        <v>109</v>
      </c>
      <c r="H32" s="21" t="n">
        <f aca="false">MAX(E32,Resumen!$B$10)</f>
        <v>0.9</v>
      </c>
    </row>
    <row r="33" customFormat="false" ht="25.5" hidden="false" customHeight="true" outlineLevel="0" collapsed="false">
      <c r="A33" s="5" t="n">
        <v>29</v>
      </c>
      <c r="B33" s="13" t="s">
        <v>111</v>
      </c>
      <c r="C33" s="5" t="s">
        <v>107</v>
      </c>
      <c r="D33" s="5" t="s">
        <v>75</v>
      </c>
      <c r="E33" s="14" t="n">
        <v>0.818</v>
      </c>
      <c r="F33" s="15" t="n">
        <v>180</v>
      </c>
      <c r="G33" s="16" t="s">
        <v>109</v>
      </c>
      <c r="H33" s="21" t="n">
        <f aca="false">MAX(E33,Resumen!$B$10)</f>
        <v>0.9</v>
      </c>
    </row>
    <row r="34" customFormat="false" ht="25.5" hidden="false" customHeight="true" outlineLevel="0" collapsed="false">
      <c r="A34" s="5" t="n">
        <v>30</v>
      </c>
      <c r="B34" s="13" t="s">
        <v>112</v>
      </c>
      <c r="C34" s="5" t="s">
        <v>107</v>
      </c>
      <c r="D34" s="5" t="s">
        <v>75</v>
      </c>
      <c r="E34" s="14" t="n">
        <v>0.818</v>
      </c>
      <c r="F34" s="15" t="n">
        <v>180</v>
      </c>
      <c r="G34" s="16" t="s">
        <v>109</v>
      </c>
      <c r="H34" s="21" t="n">
        <f aca="false">MAX(E34,Resumen!$B$10)</f>
        <v>0.9</v>
      </c>
    </row>
    <row r="35" customFormat="false" ht="25.5" hidden="false" customHeight="true" outlineLevel="0" collapsed="false">
      <c r="A35" s="5" t="n">
        <v>31</v>
      </c>
      <c r="B35" s="13" t="s">
        <v>113</v>
      </c>
      <c r="C35" s="5" t="s">
        <v>107</v>
      </c>
      <c r="D35" s="5" t="s">
        <v>79</v>
      </c>
      <c r="E35" s="14" t="n">
        <v>0.826</v>
      </c>
      <c r="F35" s="15" t="n">
        <v>172</v>
      </c>
      <c r="G35" s="16" t="s">
        <v>109</v>
      </c>
      <c r="H35" s="21" t="n">
        <f aca="false">MAX(E35,Resumen!$B$10)</f>
        <v>0.9</v>
      </c>
    </row>
    <row r="36" customFormat="false" ht="25.5" hidden="false" customHeight="true" outlineLevel="0" collapsed="false">
      <c r="A36" s="5" t="n">
        <v>32</v>
      </c>
      <c r="B36" s="13" t="s">
        <v>114</v>
      </c>
      <c r="C36" s="5" t="s">
        <v>74</v>
      </c>
      <c r="D36" s="5" t="s">
        <v>86</v>
      </c>
      <c r="E36" s="14" t="n">
        <v>0.914</v>
      </c>
      <c r="F36" s="15" t="n">
        <v>95</v>
      </c>
      <c r="G36" s="16" t="s">
        <v>109</v>
      </c>
      <c r="H36" s="21" t="n">
        <f aca="false">MAX(E36,Resumen!$B$10)</f>
        <v>0.914</v>
      </c>
    </row>
    <row r="37" customFormat="false" ht="25.5" hidden="false" customHeight="true" outlineLevel="0" collapsed="false">
      <c r="A37" s="5" t="n">
        <v>33</v>
      </c>
      <c r="B37" s="13" t="s">
        <v>115</v>
      </c>
      <c r="C37" s="5" t="s">
        <v>74</v>
      </c>
      <c r="D37" s="5" t="s">
        <v>75</v>
      </c>
      <c r="E37" s="14" t="n">
        <v>0.906</v>
      </c>
      <c r="F37" s="15" t="n">
        <v>93</v>
      </c>
      <c r="G37" s="16" t="s">
        <v>109</v>
      </c>
      <c r="H37" s="21" t="n">
        <f aca="false">MAX(E37,Resumen!$B$10)</f>
        <v>0.906</v>
      </c>
    </row>
    <row r="38" customFormat="false" ht="25.5" hidden="false" customHeight="true" outlineLevel="0" collapsed="false">
      <c r="A38" s="5" t="n">
        <v>34</v>
      </c>
      <c r="B38" s="13" t="s">
        <v>116</v>
      </c>
      <c r="C38" s="5" t="s">
        <v>107</v>
      </c>
      <c r="D38" s="5" t="s">
        <v>75</v>
      </c>
      <c r="E38" s="14" t="n">
        <v>0.912</v>
      </c>
      <c r="F38" s="15" t="n">
        <v>87</v>
      </c>
      <c r="G38" s="16" t="s">
        <v>109</v>
      </c>
      <c r="H38" s="21" t="n">
        <f aca="false">MAX(E38,Resumen!$B$10)</f>
        <v>0.912</v>
      </c>
    </row>
    <row r="39" customFormat="false" ht="25.5" hidden="false" customHeight="true" outlineLevel="0" collapsed="false">
      <c r="A39" s="5" t="n">
        <v>35</v>
      </c>
      <c r="B39" s="13" t="s">
        <v>117</v>
      </c>
      <c r="C39" s="5" t="s">
        <v>74</v>
      </c>
      <c r="D39" s="5" t="s">
        <v>75</v>
      </c>
      <c r="E39" s="14" t="n">
        <v>0.919</v>
      </c>
      <c r="F39" s="15" t="n">
        <v>80</v>
      </c>
      <c r="G39" s="16" t="s">
        <v>109</v>
      </c>
      <c r="H39" s="21" t="n">
        <f aca="false">MAX(E39,Resumen!$B$10)</f>
        <v>0.919</v>
      </c>
    </row>
    <row r="40" customFormat="false" ht="25.5" hidden="false" customHeight="true" outlineLevel="0" collapsed="false">
      <c r="A40" s="5" t="n">
        <v>36</v>
      </c>
      <c r="B40" s="13" t="s">
        <v>118</v>
      </c>
      <c r="C40" s="5" t="s">
        <v>74</v>
      </c>
      <c r="D40" s="5" t="s">
        <v>75</v>
      </c>
      <c r="E40" s="14" t="n">
        <v>0.919</v>
      </c>
      <c r="F40" s="15" t="n">
        <v>80</v>
      </c>
      <c r="G40" s="16" t="s">
        <v>109</v>
      </c>
      <c r="H40" s="21" t="n">
        <f aca="false">MAX(E40,Resumen!$B$10)</f>
        <v>0.919</v>
      </c>
    </row>
    <row r="41" customFormat="false" ht="25.5" hidden="false" customHeight="true" outlineLevel="0" collapsed="false">
      <c r="A41" s="5" t="n">
        <v>37</v>
      </c>
      <c r="B41" s="13" t="s">
        <v>119</v>
      </c>
      <c r="C41" s="5" t="s">
        <v>74</v>
      </c>
      <c r="D41" s="5" t="s">
        <v>75</v>
      </c>
      <c r="E41" s="14" t="n">
        <v>0.92</v>
      </c>
      <c r="F41" s="15" t="n">
        <v>79</v>
      </c>
      <c r="G41" s="16" t="s">
        <v>109</v>
      </c>
      <c r="H41" s="21" t="n">
        <f aca="false">MAX(E41,Resumen!$B$10)</f>
        <v>0.92</v>
      </c>
    </row>
    <row r="42" customFormat="false" ht="25.5" hidden="false" customHeight="true" outlineLevel="0" collapsed="false">
      <c r="A42" s="5" t="n">
        <v>38</v>
      </c>
      <c r="B42" s="13" t="s">
        <v>120</v>
      </c>
      <c r="C42" s="5" t="s">
        <v>74</v>
      </c>
      <c r="D42" s="5" t="s">
        <v>75</v>
      </c>
      <c r="E42" s="14" t="n">
        <v>0.92</v>
      </c>
      <c r="F42" s="15" t="n">
        <v>79</v>
      </c>
      <c r="G42" s="16" t="s">
        <v>109</v>
      </c>
      <c r="H42" s="21" t="n">
        <f aca="false">MAX(E42,Resumen!$B$10)</f>
        <v>0.92</v>
      </c>
    </row>
    <row r="43" customFormat="false" ht="25.5" hidden="false" customHeight="true" outlineLevel="0" collapsed="false">
      <c r="A43" s="5" t="n">
        <v>39</v>
      </c>
      <c r="B43" s="13" t="s">
        <v>121</v>
      </c>
      <c r="C43" s="5" t="s">
        <v>74</v>
      </c>
      <c r="D43" s="5" t="s">
        <v>75</v>
      </c>
      <c r="E43" s="14" t="n">
        <v>0.92</v>
      </c>
      <c r="F43" s="15" t="n">
        <v>79</v>
      </c>
      <c r="G43" s="16" t="s">
        <v>109</v>
      </c>
      <c r="H43" s="21" t="n">
        <f aca="false">MAX(E43,Resumen!$B$10)</f>
        <v>0.92</v>
      </c>
    </row>
    <row r="44" customFormat="false" ht="25.5" hidden="false" customHeight="true" outlineLevel="0" collapsed="false">
      <c r="A44" s="5" t="n">
        <v>40</v>
      </c>
      <c r="B44" s="13" t="s">
        <v>122</v>
      </c>
      <c r="C44" s="5" t="s">
        <v>74</v>
      </c>
      <c r="D44" s="5" t="s">
        <v>75</v>
      </c>
      <c r="E44" s="14" t="n">
        <v>0.92</v>
      </c>
      <c r="F44" s="15" t="n">
        <v>79</v>
      </c>
      <c r="G44" s="16" t="s">
        <v>109</v>
      </c>
      <c r="H44" s="21" t="n">
        <f aca="false">MAX(E44,Resumen!$B$10)</f>
        <v>0.92</v>
      </c>
    </row>
    <row r="45" customFormat="false" ht="25.5" hidden="false" customHeight="true" outlineLevel="0" collapsed="false">
      <c r="A45" s="5" t="n">
        <v>41</v>
      </c>
      <c r="B45" s="13" t="s">
        <v>123</v>
      </c>
      <c r="C45" s="5" t="s">
        <v>74</v>
      </c>
      <c r="D45" s="5" t="s">
        <v>75</v>
      </c>
      <c r="E45" s="14" t="n">
        <v>0.92</v>
      </c>
      <c r="F45" s="15" t="n">
        <v>79</v>
      </c>
      <c r="G45" s="16" t="s">
        <v>109</v>
      </c>
      <c r="H45" s="21" t="n">
        <f aca="false">MAX(E45,Resumen!$B$10)</f>
        <v>0.92</v>
      </c>
    </row>
    <row r="46" customFormat="false" ht="25.5" hidden="false" customHeight="true" outlineLevel="0" collapsed="false">
      <c r="A46" s="5" t="n">
        <v>42</v>
      </c>
      <c r="B46" s="13" t="s">
        <v>124</v>
      </c>
      <c r="C46" s="5" t="s">
        <v>74</v>
      </c>
      <c r="D46" s="5" t="s">
        <v>75</v>
      </c>
      <c r="E46" s="14" t="n">
        <v>0.92</v>
      </c>
      <c r="F46" s="15" t="n">
        <v>79</v>
      </c>
      <c r="G46" s="16" t="s">
        <v>109</v>
      </c>
      <c r="H46" s="21" t="n">
        <f aca="false">MAX(E46,Resumen!$B$10)</f>
        <v>0.92</v>
      </c>
    </row>
    <row r="47" customFormat="false" ht="25.5" hidden="false" customHeight="true" outlineLevel="0" collapsed="false">
      <c r="A47" s="5" t="n">
        <v>43</v>
      </c>
      <c r="B47" s="13" t="s">
        <v>125</v>
      </c>
      <c r="C47" s="5" t="s">
        <v>74</v>
      </c>
      <c r="D47" s="5" t="s">
        <v>75</v>
      </c>
      <c r="E47" s="14" t="n">
        <v>0.92</v>
      </c>
      <c r="F47" s="15" t="n">
        <v>79</v>
      </c>
      <c r="G47" s="16" t="s">
        <v>109</v>
      </c>
      <c r="H47" s="21" t="n">
        <f aca="false">MAX(E47,Resumen!$B$10)</f>
        <v>0.92</v>
      </c>
    </row>
    <row r="48" customFormat="false" ht="25.5" hidden="false" customHeight="true" outlineLevel="0" collapsed="false">
      <c r="A48" s="5" t="n">
        <v>44</v>
      </c>
      <c r="B48" s="13" t="s">
        <v>126</v>
      </c>
      <c r="C48" s="5" t="s">
        <v>74</v>
      </c>
      <c r="D48" s="5" t="s">
        <v>75</v>
      </c>
      <c r="E48" s="14" t="n">
        <v>0.92</v>
      </c>
      <c r="F48" s="15" t="n">
        <v>79</v>
      </c>
      <c r="G48" s="16" t="s">
        <v>109</v>
      </c>
      <c r="H48" s="21" t="n">
        <f aca="false">MAX(E48,Resumen!$B$10)</f>
        <v>0.92</v>
      </c>
    </row>
    <row r="49" customFormat="false" ht="25.5" hidden="false" customHeight="true" outlineLevel="0" collapsed="false">
      <c r="A49" s="5" t="n">
        <v>45</v>
      </c>
      <c r="B49" s="13" t="s">
        <v>127</v>
      </c>
      <c r="C49" s="5" t="s">
        <v>74</v>
      </c>
      <c r="D49" s="5" t="s">
        <v>75</v>
      </c>
      <c r="E49" s="14" t="n">
        <v>0.92</v>
      </c>
      <c r="F49" s="15" t="n">
        <v>79</v>
      </c>
      <c r="G49" s="16" t="s">
        <v>109</v>
      </c>
      <c r="H49" s="21" t="n">
        <f aca="false">MAX(E49,Resumen!$B$10)</f>
        <v>0.92</v>
      </c>
    </row>
    <row r="50" customFormat="false" ht="25.5" hidden="false" customHeight="true" outlineLevel="0" collapsed="false">
      <c r="A50" s="5" t="n">
        <v>46</v>
      </c>
      <c r="B50" s="13" t="s">
        <v>128</v>
      </c>
      <c r="C50" s="5" t="s">
        <v>74</v>
      </c>
      <c r="D50" s="5" t="s">
        <v>79</v>
      </c>
      <c r="E50" s="14" t="n">
        <v>0.922</v>
      </c>
      <c r="F50" s="15" t="n">
        <v>77</v>
      </c>
      <c r="G50" s="16" t="s">
        <v>109</v>
      </c>
      <c r="H50" s="21" t="n">
        <f aca="false">MAX(E50,Resumen!$B$10)</f>
        <v>0.922</v>
      </c>
    </row>
    <row r="51" customFormat="false" ht="25.5" hidden="false" customHeight="true" outlineLevel="0" collapsed="false">
      <c r="A51" s="5" t="n">
        <v>47</v>
      </c>
      <c r="B51" s="13" t="s">
        <v>129</v>
      </c>
      <c r="C51" s="5" t="s">
        <v>78</v>
      </c>
      <c r="D51" s="5" t="s">
        <v>79</v>
      </c>
      <c r="E51" s="14" t="n">
        <v>0.922</v>
      </c>
      <c r="F51" s="15" t="n">
        <v>77</v>
      </c>
      <c r="G51" s="16" t="s">
        <v>109</v>
      </c>
      <c r="H51" s="21" t="n">
        <f aca="false">MAX(E51,Resumen!$B$10)</f>
        <v>0.922</v>
      </c>
    </row>
    <row r="52" customFormat="false" ht="25.5" hidden="false" customHeight="true" outlineLevel="0" collapsed="false">
      <c r="A52" s="5" t="n">
        <v>48</v>
      </c>
      <c r="B52" s="13" t="s">
        <v>130</v>
      </c>
      <c r="C52" s="5" t="s">
        <v>74</v>
      </c>
      <c r="D52" s="5" t="s">
        <v>79</v>
      </c>
      <c r="E52" s="14" t="n">
        <v>0.922</v>
      </c>
      <c r="F52" s="15" t="n">
        <v>77</v>
      </c>
      <c r="G52" s="16" t="s">
        <v>109</v>
      </c>
      <c r="H52" s="21" t="n">
        <f aca="false">MAX(E52,Resumen!$B$10)</f>
        <v>0.922</v>
      </c>
    </row>
    <row r="53" customFormat="false" ht="25.5" hidden="false" customHeight="true" outlineLevel="0" collapsed="false">
      <c r="A53" s="5" t="n">
        <v>49</v>
      </c>
      <c r="B53" s="13" t="s">
        <v>131</v>
      </c>
      <c r="C53" s="5" t="s">
        <v>74</v>
      </c>
      <c r="D53" s="5" t="s">
        <v>75</v>
      </c>
      <c r="E53" s="14" t="n">
        <v>0.925</v>
      </c>
      <c r="F53" s="15" t="n">
        <v>74</v>
      </c>
      <c r="G53" s="16" t="s">
        <v>109</v>
      </c>
      <c r="H53" s="21" t="n">
        <f aca="false">MAX(E53,Resumen!$B$10)</f>
        <v>0.925</v>
      </c>
    </row>
    <row r="54" customFormat="false" ht="25.5" hidden="false" customHeight="true" outlineLevel="0" collapsed="false">
      <c r="A54" s="5" t="n">
        <v>50</v>
      </c>
      <c r="B54" s="13" t="s">
        <v>132</v>
      </c>
      <c r="C54" s="5" t="s">
        <v>74</v>
      </c>
      <c r="D54" s="5" t="s">
        <v>75</v>
      </c>
      <c r="E54" s="14" t="n">
        <v>0.954</v>
      </c>
      <c r="F54" s="15" t="n">
        <v>46</v>
      </c>
      <c r="G54" s="16" t="s">
        <v>109</v>
      </c>
      <c r="H54" s="21" t="n">
        <f aca="false">MAX(E54,Resumen!$B$10)</f>
        <v>0.954</v>
      </c>
    </row>
    <row r="56" customFormat="false" ht="15" hidden="false" customHeight="false" outlineLevel="0" collapsed="false">
      <c r="A56" s="3" t="s">
        <v>133</v>
      </c>
      <c r="E56" s="20" t="n">
        <f aca="false">AVERAGE(E5:E54)</f>
        <v>0.64102</v>
      </c>
    </row>
    <row r="57" customFormat="false" ht="15" hidden="false" customHeight="false" outlineLevel="0" collapsed="false">
      <c r="A57" s="3" t="s">
        <v>134</v>
      </c>
      <c r="E57" s="20" t="n">
        <f aca="false">AVERAGE(H5:H54)</f>
        <v>0.9079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1"/>
    <col collapsed="false" customWidth="true" hidden="false" outlineLevel="0" max="3" min="3" style="0" width="46"/>
    <col collapsed="false" customWidth="true" hidden="false" outlineLevel="0" max="4" min="4" style="0" width="30"/>
    <col collapsed="false" customWidth="true" hidden="false" outlineLevel="0" max="7" min="5" style="0" width="16"/>
    <col collapsed="false" customWidth="true" hidden="false" outlineLevel="0" max="8" min="8" style="0" width="30"/>
  </cols>
  <sheetData>
    <row r="1" customFormat="false" ht="17.35" hidden="false" customHeight="false" outlineLevel="0" collapsed="false">
      <c r="A1" s="1" t="s">
        <v>135</v>
      </c>
    </row>
    <row r="2" customFormat="false" ht="15" hidden="false" customHeight="false" outlineLevel="0" collapsed="false">
      <c r="A2" s="2" t="s">
        <v>136</v>
      </c>
    </row>
    <row r="4" customFormat="false" ht="25.5" hidden="false" customHeight="true" outlineLevel="0" collapsed="false">
      <c r="A4" s="9" t="s">
        <v>137</v>
      </c>
      <c r="B4" s="9" t="s">
        <v>138</v>
      </c>
      <c r="C4" s="9" t="s">
        <v>31</v>
      </c>
      <c r="D4" s="9" t="s">
        <v>139</v>
      </c>
      <c r="E4" s="9" t="s">
        <v>140</v>
      </c>
      <c r="F4" s="9" t="s">
        <v>141</v>
      </c>
      <c r="G4" s="9" t="s">
        <v>142</v>
      </c>
      <c r="H4" s="9" t="s">
        <v>143</v>
      </c>
    </row>
    <row r="5" customFormat="false" ht="15" hidden="false" customHeight="false" outlineLevel="0" collapsed="false">
      <c r="A5" s="5" t="s">
        <v>144</v>
      </c>
      <c r="B5" s="5" t="s">
        <v>145</v>
      </c>
      <c r="C5" s="5" t="s">
        <v>38</v>
      </c>
      <c r="D5" s="5" t="s">
        <v>146</v>
      </c>
      <c r="E5" s="5" t="n">
        <v>438</v>
      </c>
      <c r="F5" s="23" t="s">
        <v>56</v>
      </c>
      <c r="G5" s="23"/>
      <c r="H5" s="5"/>
    </row>
    <row r="6" customFormat="false" ht="15" hidden="false" customHeight="false" outlineLevel="0" collapsed="false">
      <c r="A6" s="5" t="s">
        <v>144</v>
      </c>
      <c r="B6" s="5" t="s">
        <v>147</v>
      </c>
      <c r="C6" s="5" t="s">
        <v>38</v>
      </c>
      <c r="D6" s="5" t="s">
        <v>148</v>
      </c>
      <c r="E6" s="5" t="n">
        <v>431</v>
      </c>
      <c r="F6" s="23" t="s">
        <v>56</v>
      </c>
      <c r="G6" s="23"/>
      <c r="H6" s="5"/>
    </row>
    <row r="7" customFormat="false" ht="15" hidden="false" customHeight="false" outlineLevel="0" collapsed="false">
      <c r="A7" s="5" t="s">
        <v>149</v>
      </c>
      <c r="B7" s="5" t="s">
        <v>145</v>
      </c>
      <c r="C7" s="5" t="s">
        <v>38</v>
      </c>
      <c r="D7" s="5" t="s">
        <v>150</v>
      </c>
      <c r="E7" s="5" t="n">
        <v>122</v>
      </c>
      <c r="F7" s="23" t="s">
        <v>56</v>
      </c>
      <c r="G7" s="23"/>
      <c r="H7" s="5"/>
    </row>
    <row r="8" customFormat="false" ht="15" hidden="false" customHeight="false" outlineLevel="0" collapsed="false">
      <c r="A8" s="5" t="s">
        <v>149</v>
      </c>
      <c r="B8" s="5" t="s">
        <v>147</v>
      </c>
      <c r="C8" s="5" t="s">
        <v>42</v>
      </c>
      <c r="D8" s="5" t="s">
        <v>146</v>
      </c>
      <c r="E8" s="5" t="n">
        <v>438</v>
      </c>
      <c r="F8" s="23" t="s">
        <v>56</v>
      </c>
      <c r="G8" s="23"/>
      <c r="H8" s="5"/>
    </row>
    <row r="9" customFormat="false" ht="15" hidden="false" customHeight="false" outlineLevel="0" collapsed="false">
      <c r="A9" s="5" t="s">
        <v>151</v>
      </c>
      <c r="B9" s="5" t="s">
        <v>145</v>
      </c>
      <c r="C9" s="5" t="s">
        <v>42</v>
      </c>
      <c r="D9" s="5" t="s">
        <v>148</v>
      </c>
      <c r="E9" s="5" t="n">
        <v>431</v>
      </c>
      <c r="F9" s="23" t="s">
        <v>56</v>
      </c>
      <c r="G9" s="23"/>
      <c r="H9" s="5"/>
    </row>
    <row r="10" customFormat="false" ht="15" hidden="false" customHeight="false" outlineLevel="0" collapsed="false">
      <c r="A10" s="5" t="s">
        <v>151</v>
      </c>
      <c r="B10" s="5" t="s">
        <v>147</v>
      </c>
      <c r="C10" s="5" t="s">
        <v>42</v>
      </c>
      <c r="D10" s="5" t="s">
        <v>150</v>
      </c>
      <c r="E10" s="5" t="n">
        <v>122</v>
      </c>
      <c r="F10" s="23" t="s">
        <v>56</v>
      </c>
      <c r="G10" s="23"/>
      <c r="H10" s="5"/>
    </row>
    <row r="11" customFormat="false" ht="15" hidden="false" customHeight="false" outlineLevel="0" collapsed="false">
      <c r="A11" s="5" t="s">
        <v>152</v>
      </c>
      <c r="B11" s="5" t="s">
        <v>145</v>
      </c>
      <c r="C11" s="5" t="s">
        <v>43</v>
      </c>
      <c r="D11" s="5" t="s">
        <v>146</v>
      </c>
      <c r="E11" s="5" t="n">
        <v>438</v>
      </c>
      <c r="F11" s="23" t="s">
        <v>56</v>
      </c>
      <c r="G11" s="23"/>
      <c r="H11" s="5"/>
    </row>
    <row r="12" customFormat="false" ht="15" hidden="false" customHeight="false" outlineLevel="0" collapsed="false">
      <c r="A12" s="5" t="s">
        <v>152</v>
      </c>
      <c r="B12" s="5" t="s">
        <v>147</v>
      </c>
      <c r="C12" s="5" t="s">
        <v>43</v>
      </c>
      <c r="D12" s="5" t="s">
        <v>148</v>
      </c>
      <c r="E12" s="5" t="n">
        <v>431</v>
      </c>
      <c r="F12" s="23" t="s">
        <v>56</v>
      </c>
      <c r="G12" s="23"/>
      <c r="H12" s="5"/>
    </row>
    <row r="13" customFormat="false" ht="15" hidden="false" customHeight="false" outlineLevel="0" collapsed="false">
      <c r="A13" s="5" t="s">
        <v>153</v>
      </c>
      <c r="B13" s="5" t="s">
        <v>145</v>
      </c>
      <c r="C13" s="5" t="s">
        <v>43</v>
      </c>
      <c r="D13" s="5" t="s">
        <v>150</v>
      </c>
      <c r="E13" s="5" t="n">
        <v>122</v>
      </c>
      <c r="F13" s="23" t="s">
        <v>56</v>
      </c>
      <c r="G13" s="23"/>
      <c r="H13" s="5"/>
    </row>
    <row r="14" customFormat="false" ht="15" hidden="false" customHeight="false" outlineLevel="0" collapsed="false">
      <c r="A14" s="5" t="s">
        <v>153</v>
      </c>
      <c r="B14" s="5" t="s">
        <v>147</v>
      </c>
      <c r="C14" s="5" t="s">
        <v>44</v>
      </c>
      <c r="D14" s="5" t="s">
        <v>146</v>
      </c>
      <c r="E14" s="5" t="n">
        <v>438</v>
      </c>
      <c r="F14" s="23" t="s">
        <v>56</v>
      </c>
      <c r="G14" s="23"/>
      <c r="H14" s="5"/>
    </row>
    <row r="15" customFormat="false" ht="15" hidden="false" customHeight="false" outlineLevel="0" collapsed="false">
      <c r="A15" s="5" t="s">
        <v>154</v>
      </c>
      <c r="B15" s="5" t="s">
        <v>145</v>
      </c>
      <c r="C15" s="5" t="s">
        <v>44</v>
      </c>
      <c r="D15" s="5" t="s">
        <v>148</v>
      </c>
      <c r="E15" s="5" t="n">
        <v>431</v>
      </c>
      <c r="F15" s="23" t="s">
        <v>56</v>
      </c>
      <c r="G15" s="23"/>
      <c r="H15" s="5"/>
    </row>
    <row r="16" customFormat="false" ht="15" hidden="false" customHeight="false" outlineLevel="0" collapsed="false">
      <c r="A16" s="5" t="s">
        <v>154</v>
      </c>
      <c r="B16" s="5" t="s">
        <v>147</v>
      </c>
      <c r="C16" s="5" t="s">
        <v>44</v>
      </c>
      <c r="D16" s="5" t="s">
        <v>150</v>
      </c>
      <c r="E16" s="5" t="n">
        <v>122</v>
      </c>
      <c r="F16" s="23" t="s">
        <v>56</v>
      </c>
      <c r="G16" s="23"/>
      <c r="H16" s="5"/>
    </row>
    <row r="17" customFormat="false" ht="15" hidden="false" customHeight="false" outlineLevel="0" collapsed="false">
      <c r="A17" s="5" t="s">
        <v>155</v>
      </c>
      <c r="B17" s="5" t="s">
        <v>145</v>
      </c>
      <c r="C17" s="5" t="s">
        <v>47</v>
      </c>
      <c r="D17" s="5" t="s">
        <v>146</v>
      </c>
      <c r="E17" s="5" t="n">
        <v>438</v>
      </c>
      <c r="F17" s="23" t="s">
        <v>56</v>
      </c>
      <c r="G17" s="23"/>
      <c r="H17" s="5"/>
    </row>
    <row r="18" customFormat="false" ht="15" hidden="false" customHeight="false" outlineLevel="0" collapsed="false">
      <c r="A18" s="5" t="s">
        <v>155</v>
      </c>
      <c r="B18" s="5" t="s">
        <v>147</v>
      </c>
      <c r="C18" s="5" t="s">
        <v>47</v>
      </c>
      <c r="D18" s="5" t="s">
        <v>148</v>
      </c>
      <c r="E18" s="5" t="n">
        <v>431</v>
      </c>
      <c r="F18" s="23" t="s">
        <v>56</v>
      </c>
      <c r="G18" s="23"/>
      <c r="H18" s="5"/>
    </row>
    <row r="19" customFormat="false" ht="15" hidden="false" customHeight="false" outlineLevel="0" collapsed="false">
      <c r="A19" s="5" t="s">
        <v>156</v>
      </c>
      <c r="B19" s="5" t="s">
        <v>145</v>
      </c>
      <c r="C19" s="5" t="s">
        <v>47</v>
      </c>
      <c r="D19" s="5" t="s">
        <v>150</v>
      </c>
      <c r="E19" s="5" t="n">
        <v>122</v>
      </c>
      <c r="F19" s="23" t="s">
        <v>56</v>
      </c>
      <c r="G19" s="23"/>
      <c r="H19" s="5"/>
    </row>
    <row r="20" customFormat="false" ht="15" hidden="false" customHeight="false" outlineLevel="0" collapsed="false">
      <c r="A20" s="5" t="s">
        <v>156</v>
      </c>
      <c r="B20" s="5" t="s">
        <v>147</v>
      </c>
      <c r="C20" s="5" t="s">
        <v>48</v>
      </c>
      <c r="D20" s="5" t="s">
        <v>146</v>
      </c>
      <c r="E20" s="5" t="n">
        <v>438</v>
      </c>
      <c r="F20" s="23" t="s">
        <v>56</v>
      </c>
      <c r="G20" s="23"/>
      <c r="H20" s="5"/>
    </row>
    <row r="21" customFormat="false" ht="15" hidden="false" customHeight="false" outlineLevel="0" collapsed="false">
      <c r="A21" s="5" t="s">
        <v>157</v>
      </c>
      <c r="B21" s="5" t="s">
        <v>145</v>
      </c>
      <c r="C21" s="5" t="s">
        <v>48</v>
      </c>
      <c r="D21" s="5" t="s">
        <v>148</v>
      </c>
      <c r="E21" s="5" t="n">
        <v>431</v>
      </c>
      <c r="F21" s="23" t="s">
        <v>56</v>
      </c>
      <c r="G21" s="23"/>
      <c r="H21" s="5"/>
    </row>
    <row r="22" customFormat="false" ht="15" hidden="false" customHeight="false" outlineLevel="0" collapsed="false">
      <c r="A22" s="5" t="s">
        <v>157</v>
      </c>
      <c r="B22" s="5" t="s">
        <v>147</v>
      </c>
      <c r="C22" s="5" t="s">
        <v>48</v>
      </c>
      <c r="D22" s="5" t="s">
        <v>150</v>
      </c>
      <c r="E22" s="5" t="n">
        <v>122</v>
      </c>
      <c r="F22" s="23" t="s">
        <v>56</v>
      </c>
      <c r="G22" s="23"/>
      <c r="H22" s="5"/>
    </row>
    <row r="23" customFormat="false" ht="15" hidden="false" customHeight="false" outlineLevel="0" collapsed="false">
      <c r="A23" s="5" t="s">
        <v>158</v>
      </c>
      <c r="B23" s="5" t="s">
        <v>145</v>
      </c>
      <c r="C23" s="5" t="s">
        <v>49</v>
      </c>
      <c r="D23" s="5" t="s">
        <v>146</v>
      </c>
      <c r="E23" s="5" t="n">
        <v>438</v>
      </c>
      <c r="F23" s="23" t="s">
        <v>56</v>
      </c>
      <c r="G23" s="23"/>
      <c r="H23" s="5"/>
    </row>
    <row r="24" customFormat="false" ht="15" hidden="false" customHeight="false" outlineLevel="0" collapsed="false">
      <c r="A24" s="5" t="s">
        <v>158</v>
      </c>
      <c r="B24" s="5" t="s">
        <v>147</v>
      </c>
      <c r="C24" s="5" t="s">
        <v>49</v>
      </c>
      <c r="D24" s="5" t="s">
        <v>148</v>
      </c>
      <c r="E24" s="5" t="n">
        <v>431</v>
      </c>
      <c r="F24" s="23" t="s">
        <v>56</v>
      </c>
      <c r="G24" s="23"/>
      <c r="H24" s="5"/>
    </row>
    <row r="25" customFormat="false" ht="15" hidden="false" customHeight="false" outlineLevel="0" collapsed="false">
      <c r="A25" s="5" t="s">
        <v>159</v>
      </c>
      <c r="B25" s="5" t="s">
        <v>145</v>
      </c>
      <c r="C25" s="5" t="s">
        <v>49</v>
      </c>
      <c r="D25" s="5" t="s">
        <v>150</v>
      </c>
      <c r="E25" s="5" t="n">
        <v>122</v>
      </c>
      <c r="F25" s="23" t="s">
        <v>56</v>
      </c>
      <c r="G25" s="23"/>
      <c r="H25" s="5"/>
    </row>
    <row r="26" customFormat="false" ht="15" hidden="false" customHeight="false" outlineLevel="0" collapsed="false">
      <c r="A26" s="5" t="s">
        <v>159</v>
      </c>
      <c r="B26" s="5" t="s">
        <v>147</v>
      </c>
      <c r="C26" s="5" t="s">
        <v>52</v>
      </c>
      <c r="D26" s="5" t="s">
        <v>146</v>
      </c>
      <c r="E26" s="5" t="n">
        <v>438</v>
      </c>
      <c r="F26" s="23" t="s">
        <v>56</v>
      </c>
      <c r="G26" s="23"/>
      <c r="H26" s="5"/>
    </row>
    <row r="27" customFormat="false" ht="15" hidden="false" customHeight="false" outlineLevel="0" collapsed="false">
      <c r="A27" s="5" t="s">
        <v>160</v>
      </c>
      <c r="B27" s="5" t="s">
        <v>145</v>
      </c>
      <c r="C27" s="5" t="s">
        <v>52</v>
      </c>
      <c r="D27" s="5" t="s">
        <v>148</v>
      </c>
      <c r="E27" s="5" t="n">
        <v>431</v>
      </c>
      <c r="F27" s="23" t="s">
        <v>56</v>
      </c>
      <c r="G27" s="23"/>
      <c r="H27" s="5"/>
    </row>
    <row r="28" customFormat="false" ht="15" hidden="false" customHeight="false" outlineLevel="0" collapsed="false">
      <c r="A28" s="5" t="s">
        <v>160</v>
      </c>
      <c r="B28" s="5" t="s">
        <v>147</v>
      </c>
      <c r="C28" s="5" t="s">
        <v>52</v>
      </c>
      <c r="D28" s="5" t="s">
        <v>150</v>
      </c>
      <c r="E28" s="5" t="n">
        <v>122</v>
      </c>
      <c r="F28" s="23" t="s">
        <v>56</v>
      </c>
      <c r="G28" s="23"/>
      <c r="H28" s="5"/>
    </row>
    <row r="30" customFormat="false" ht="15" hidden="false" customHeight="false" outlineLevel="0" collapsed="false">
      <c r="A30" s="2" t="s">
        <v>161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2026-09-15T21:21:44Z</dcterms:created>
  <dc:creator>openpyxl</dc:creator>
  <dc:description/>
  <dc:language>en-US</dc:language>
  <cp:lastModifiedBy/>
  <dcterms:modified xsi:type="dcterms:W3CDTF">2026-09-15T21:21:44Z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